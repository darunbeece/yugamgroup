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word Priority List" sheetId="1" state="visible" r:id="rId3"/>
    <sheet name="Page-Keyword Map" sheetId="2" state="visible" r:id="rId4"/>
    <sheet name="Opportunity Matrix" sheetId="3" state="visible" r:id="rId5"/>
    <sheet name="90-Day Action Plan" sheetId="4" state="visible" r:id="rId6"/>
    <sheet name="Methodology &amp; 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<ns0:sst xmlns:ns0="http://schemas.openxmlformats.org/spreadsheetml/2006/main" count="588" uniqueCount="316">
  <ns0:si>
    <ns0:t xml:space="preserve">yugamgroup.com — Competitor Keyword Analysis &amp; Priority Ranking</ns0:t>
  </ns0:si>
  <ns0:si>
    <ns0:t xml:space="preserve">Priority
Rank</ns0:t>
  </ns0:si>
  <ns0:si>
    <ns0:t xml:space="preserve">Page / URL</ns0:t>
  </ns0:si>
  <ns0:si>
    <ns0:t xml:space="preserve">Page Title</ns0:t>
  </ns0:si>
  <ns0:si>
    <ns0:t xml:space="preserve">Target Keyword</ns0:t>
  </ns0:si>
  <ns0:si>
    <ns0:t xml:space="preserve">Keyword Type</ns0:t>
  </ns0:si>
  <ns0:si>
    <ns0:t xml:space="preserve">Monthly Search
Volume (US)</ns0:t>
  </ns0:si>
  <ns0:si>
    <ns0:t xml:space="preserve">Keyword Difficulty
(0–100)</ns0:t>
  </ns0:si>
  <ns0:si>
    <ns0:t xml:space="preserve">CPC
(USD)</ns0:t>
  </ns0:si>
  <ns0:si>
    <ns0:t xml:space="preserve">SERP Intent</ns0:t>
  </ns0:si>
  <ns0:si>
    <ns0:t xml:space="preserve">Current
Ranking Est.</ns0:t>
  </ns0:si>
  <ns0:si>
    <ns0:t xml:space="preserve">Opportunity
Score (1–10)</ns0:t>
  </ns0:si>
  <ns0:si>
    <ns0:t xml:space="preserve">Content Gap
Opportunity</ns0:t>
  </ns0:si>
  <ns0:si>
    <ns0:t xml:space="preserve">Recommended
Action</ns0:t>
  </ns0:si>
  <ns0:si>
    <ns0:t xml:space="preserve">Notes</ns0:t>
  </ns0:si>
  <ns0:si>
    <ns0:t xml:space="preserve">yugamgroup.com/services</ns0:t>
  </ns0:si>
  <ns0:si>
    <ns0:t xml:space="preserve">YugamGroup Services</ns0:t>
  </ns0:si>
  <ns0:si>
    <ns0:t xml:space="preserve">cloud migration services</ns0:t>
  </ns0:si>
  <ns0:si>
    <ns0:t xml:space="preserve">Primary</ns0:t>
  </ns0:si>
  <ns0:si>
    <ns0:t xml:space="preserve">Commercial</ns0:t>
  </ns0:si>
  <ns0:si>
    <ns0:t xml:space="preserve">Not ranking</ns0:t>
  </ns0:si>
  <ns0:si>
    <ns0:t xml:space="preserve">HIGH — direct service match</ns0:t>
  </ns0:si>
  <ns0:si>
    <ns0:t>Create dedicated hub page (1,500+ words); build 8-10 internal links from existing content; add video explainer for cloud migration process; implement FAQ schema with 5+ migration questions</ns0:t>
  </ns0:si>
  <ns0:si>
    <ns0:t xml:space="preserve">Highest-volume term matching core offering; KD is high but ROI justifies investment</ns0:t>
  </ns0:si>
  <ns0:si>
    <ns0:t xml:space="preserve">enterprise cloud migration</ns0:t>
  </ns0:si>
  <ns0:si>
    <ns0:t>Create enterprise-focused landing page (1,200+ words) + case study micro-content; build email nurture sequence; add ROI calculator tool; target B2B buyer personas with comparison tables</ns0:t>
  </ns0:si>
  <ns0:si>
    <ns0:t xml:space="preserve">Strong B2B commercial intent; aligns with 200+ migrations claim</ns0:t>
  </ns0:si>
  <ns0:si>
    <ns0:t xml:space="preserve">yugamgroup.com/</ns0:t>
  </ns0:si>
  <ns0:si>
    <ns0:t xml:space="preserve">Homepage</ns0:t>
  </ns0:si>
  <ns0:si>
    <ns0:t xml:space="preserve">agentic AI consulting</ns0:t>
  </ns0:si>
  <ns0:si>
    <ns0:t xml:space="preserve">HIGH — new category, low KD</ns0:t>
  </ns0:si>
  <ns0:si>
    <ns0:t>Launch NOW: Publish 2,000-word definitive guide + dedicated service page; create video series (3-5 parts) on agentic AI; build backlinks from AI/tech publications; add webinar series targeting CTOs</ns0:t>
  </ns0:si>
  <ns0:si>
    <ns0:t xml:space="preserve">Fastest growing query in AI services space; low competition window</ns0:t>
  </ns0:si>
  <ns0:si>
    <ns0:t xml:space="preserve">agentic AI governance framework</ns0:t>
  </ns0:si>
  <ns0:si>
    <ns0:t xml:space="preserve">Informational</ns0:t>
  </ns0:si>
  <ns0:si>
    <ns0:t xml:space="preserve">HIGH — early mover advantage</ns0:t>
  </ns0:si>
  <ns0:si>
    <ns0:t>Publish downloadable whitepaper (gated) + pillar page (2,500+ words); create interactive governance framework tool; earn 10+ editorial backlinks from industry analysts; position as thought leader in this emerging space</ns0:t>
  </ns0:si>
  <ns0:si>
    <ns0:t xml:space="preserve">75% of tech leaders cite governance as top concern (industry data)</ns0:t>
  </ns0:si>
  <ns0:si>
    <ns0:t xml:space="preserve">zero trust cloud governance</ns0:t>
  </ns0:si>
  <ns0:si>
    <ns0:t xml:space="preserve">HIGH — exact service match</ns0:t>
  </ns0:si>
  <ns0:si>
    <ns0:t>Build Azure-focused service page (1,500+ words) + case study proof points; create Azure certifications badge display; partner content with Microsoft Learn; add pricing calculator for zero-trust implementation</ns0:t>
  </ns0:si>
  <ns0:si>
    <ns0:t xml:space="preserve">Site explicitly mentions this; just needs a landing page</ns0:t>
  </ns0:si>
  <ns0:si>
    <ns0:t xml:space="preserve">yugamgroup.com/case-studies</ns0:t>
  </ns0:si>
  <ns0:si>
    <ns0:t xml:space="preserve">Case Studies</ns0:t>
  </ns0:si>
  <ns0:si>
    <ns0:t xml:space="preserve">cloud migration case study</ns0:t>
  </ns0:si>
  <ns0:si>
    <ns0:t xml:space="preserve">MEDIUM — content already exists</ns0:t>
  </ns0:si>
  <ns0:si>
    <ns0:t>Revamp case studies page with SEO: add dedicated URLs for each case study, schema markup, internal cross-linking; build topic cluster around cloud migration terminology; create migration success metric infographic</ns0:t>
  </ns0:si>
  <ns0:si>
    <ns0:t xml:space="preserve">3 strong case studies on site; needs SEO optimisation</ns0:t>
  </ns0:si>
  <ns0:si>
    <ns0:t xml:space="preserve">generative AI analytics platform</ns0:t>
  </ns0:si>
  <ns0:si>
    <ns0:t xml:space="preserve">HIGH — competitive advantage</ns0:t>
  </ns0:si>
  <ns0:si>
    <ns0:t>Build service page (1,500+ words) + platform demo video; create comparison matrix vs competitors; add customer testimonial videos; target integration keywords (Databricks, Snowflake, BigQuery); build backlinks from analyst reports</ns0:t>
  </ns0:si>
  <ns0:si>
    <ns0:t xml:space="preserve">Highly searched; site mentions it but no dedicated page</ns0:t>
  </ns0:si>
  <ns0:si>
    <ns0:t xml:space="preserve">multi-cloud DevOps governance</ns0:t>
  </ns0:si>
  <ns0:si>
    <ns0:t xml:space="preserve">Secondary</ns0:t>
  </ns0:si>
  <ns0:si>
    <ns0:t xml:space="preserve">HIGH — specific niche</ns0:t>
  </ns0:si>
  <ns0:si>
    <ns0:t>Create DevOps-specific service page (1,200+ words) + technical blog post on policy-as-code; build case study showcase; target DevOps forums and communities; create CLI tool comparison guide</ns0:t>
  </ns0:si>
  <ns0:si>
    <ns0:t xml:space="preserve">Policy-as-code angle differentiates from generic DevOps</ns0:t>
  </ns0:si>
  <ns0:si>
    <ns0:t xml:space="preserve">cloud FinOps optimization</ns0:t>
  </ns0:si>
  <ns0:si>
    <ns0:t xml:space="preserve">HIGH — growing demand</ns0:t>
  </ns0:si>
  <ns0:si>
    <ns0:t>Build dedicated FinOps page (1,500+ words) with cost reduction ROI calculator; create interactive cost-savings simulator; publish monthly FinOps blog series; build backlinks from FinOps Foundation; add customer savings case studies</ns0:t>
  </ns0:si>
  <ns0:si>
    <ns0:t xml:space="preserve">Company claims 50% avg cost reduction — powerful proof point</ns0:t>
  </ns0:si>
  <ns0:si>
    <ns0:t xml:space="preserve">migration as a service</ns0:t>
  </ns0:si>
  <ns0:si>
    <ns0:t xml:space="preserve">HIGH — exact offering match</ns0:t>
  </ns0:si>
  <ns0:si>
    <ns0:t>Build dedicated MaaS landing page (1,500+ words) with ROI calculator, migration timeline estimator, and risk assessment tool; create executive summary PDF; target enterprise procurement keywords; add testimonials from 200+ completed migrations</ns0:t>
  </ns0:si>
  <ns0:si>
    <ns0:t xml:space="preserve">Site explicitly offers Migration-as-a-Service; needs its own URL</ns0:t>
  </ns0:si>
  <ns0:si>
    <ns0:t xml:space="preserve">cloud security assessment</ns0:t>
  </ns0:si>
  <ns0:si>
    <ns0:t xml:space="preserve">MEDIUM — crowded space</ns0:t>
  </ns0:si>
  <ns0:si>
    <ns0:t>Build security assessment landing page (1,200+ words) + free 30-min assessment CTA; create downloadable security risk framework; build email nurture sequence post-assessment; target security buyer journey keywords; add assessment sample results case study</ns0:t>
  </ns0:si>
  <ns0:si>
    <ns0:t xml:space="preserve">Free security risk assessment CTA already on site — monetise it</ns0:t>
  </ns0:si>
  <ns0:si>
    <ns0:t xml:space="preserve">DevSecOps pipeline implementation</ns0:t>
  </ns0:si>
  <ns0:si>
    <ns0:t xml:space="preserve">HIGH — proven ROI in case study</ns0:t>
  </ns0:si>
  <ns0:si>
    <ns0:t>Create comprehensive DevSecOps case study page (2,000+ words) with metrics (weeks-to-days reduction); add video walkthrough; create downloadable DevSecOps pipeline template; build backlinks from DevOps/Security publications; launch DevSecOps certification program content</ns0:t>
  </ns0:si>
  <ns0:si>
    <ns0:t xml:space="preserve">Case study shows release cycle from weeks to days — publish it</ns0:t>
  </ns0:si>
  <ns0:si>
    <ns0:t xml:space="preserve">NIST 800-171 compliance services</ns0:t>
  </ns0:si>
  <ns0:si>
    <ns0:t xml:space="preserve">Long-tail</ns0:t>
  </ns0:si>
  <ns0:si>
    <ns0:t xml:space="preserve">HIGH — very specific, low KD</ns0:t>
  </ns0:si>
  <ns0:si>
    <ns0:t>Build NIST 800-171 landing page (1,500+ words) + compliance checklist tool; create downloadable NIST mapping guide; partner with defense contractors for case studies; add compliance timeline estimator; target DFARS/CMMC keywords; publish monthly compliance blog series</ns0:t>
  </ns0:si>
  <ns0:si>
    <ns0:t xml:space="preserve">Existing case study (85 pt SPRS gain) is perfect social proof</ns0:t>
  </ns0:si>
  <ns0:si>
    <ns0:t xml:space="preserve">cloud data estate modernization</ns0:t>
  </ns0:si>
  <ns0:si>
    <ns0:t xml:space="preserve">HIGH — exact phrase on site</ns0:t>
  </ns0:si>
  <ns0:si>
    <ns0:t>Build data modernization service page (1,500+ words) with architecture decision framework; create interactive data stack comparison tool; build Databricks partnership content; add migration timeline tool; publish case studies showing data pipeline improvements; target cloud data warehouse keywords</ns0:t>
  </ns0:si>
  <ns0:si>
    <ns0:t xml:space="preserve">Exact phrase used repeatedly on site; zero SEO optimisation</ns0:t>
  </ns0:si>
  <ns0:si>
    <ns0:t xml:space="preserve">enterprise AI transformation consulting</ns0:t>
  </ns0:si>
  <ns0:si>
    <ns0:t xml:space="preserve">HIGH — high CPC = high intent</ns0:t>
  </ns0:si>
  <ns0:si>
    <ns0:t>Refine homepage H1/meta with enterprise buyer language; build dedicated enterprise consulting page (1,500+ words); create tailored landing pages for Fortune 500 procurement teams; add enterprise case study showcase; target buying intent keywords; implement ABM landing page variants</ns0:t>
  </ns0:si>
  <ns0:si>
    <ns0:t xml:space="preserve">High CPC indicates strong buyer intent in this space</ns0:t>
  </ns0:si>
  <ns0:si>
    <ns0:t xml:space="preserve">yugamgroup.com/about</ns0:t>
  </ns0:si>
  <ns0:si>
    <ns0:t xml:space="preserve">About YugamGroup</ns0:t>
  </ns0:si>
  <ns0:si>
    <ns0:t xml:space="preserve">cloud security consulting firm Chicago</ns0:t>
  </ns0:si>
  <ns0:si>
    <ns0:t xml:space="preserve">Local/Geo</ns0:t>
  </ns0:si>
  <ns0:si>
    <ns0:t xml:space="preserve">HIGH — local SEO opportunity</ns0:t>
  </ns0:si>
  <ns0:si>
    <ns0:t>Upgrade About page SEO (1,000+ words) with founder story linking to Azure credential; optimize Google Business Profile with rich Q&amp;A; add Chicago local schema markup; build local citations (Yelp, ZoomInfo, LinkedIn); create local content targeting Illinois/Chicago variations; add team expertise pages</ns0:t>
  </ns0:si>
  <ns0:si>
    <ns0:t xml:space="preserve">Chicago HQ is differentiator; local SEO largely untapped</ns0:t>
  </ns0:si>
  <ns0:si>
    <ns0:t xml:space="preserve">application modernization services</ns0:t>
  </ns0:si>
  <ns0:si>
    <ns0:t xml:space="preserve">MEDIUM — competitive</ns0:t>
  </ns0:si>
  <ns0:si>
    <ns0:t>Build app modernization service page (1,500+ words) + architecture assessment tool; create case studies for legacy-to-cloud transformations; target application development frameworks (Spring Boot, .NET, Node.js); add migration path decision tree; publish legacy app modernization blog series</ns0:t>
  </ns0:si>
  <ns0:si>
    <ns0:t xml:space="preserve">Listed as service; needs dedicated URL</ns0:t>
  </ns0:si>
  <ns0:si>
    <ns0:t xml:space="preserve">SOC 2 compliance consulting</ns0:t>
  </ns0:si>
  <ns0:si>
    <ns0:t xml:space="preserve">HIGH — proven capability</ns0:t>
  </ns0:si>
  <ns0:si>
    <ns0:t>Build SOC 2 landing page (1,500+ words) showcasing 150+ certifications achieved; create downloadable SOC 2 roadmap and checklist; build audit prep resource center; target SOC 2 buyer journey keywords; add customer certification showcase; publish SOC 2 audit preparation blog series</ns0:t>
  </ns0:si>
  <ns0:si>
    <ns0:t xml:space="preserve">150+ certifications achieved cited on services page</ns0:t>
  </ns0:si>
  <ns0:si>
    <ns0:t xml:space="preserve">Azure cloud migration partner</ns0:t>
  </ns0:si>
  <ns0:si>
    <ns0:t xml:space="preserve">MEDIUM — partner angle</ns0:t>
  </ns0:si>
  <ns0:si>
    <ns0:t>Build Azure migration landing page (1,500+ words) featuring founder as Azure Solution Architect Expert; create Azure migration cost calculator; build Azure partnership content; add Azure Well-Architected review framework; target Azure-specific keywords; publish Azure best practices blog series</ns0:t>
  </ns0:si>
  <ns0:si>
    <ns0:t xml:space="preserve">Founder is Azure Solution Architect Expert — strong credential</ns0:t>
  </ns0:si>
  <ns0:si>
    <ns0:t xml:space="preserve">staff augmentation cloud engineers</ns0:t>
  </ns0:si>
  <ns0:si>
    <ns0:t xml:space="preserve">MEDIUM — revenue diversifier</ns0:t>
  </ns0:si>
  <ns0:si>
    <ns0:t>Build staff augmentation service page (1,200+ words) with pricing transparency ($75/hr starting); create role templates and job descriptions; build engineer portfolio showcase; target staffing keywords; create case studies showing team productivity gains; launch hiring marketplace integration</ns0:t>
  </ns0:si>
  <ns0:si>
    <ns0:t xml:space="preserve">Starting at $75/hr already listed; just needs a landing page</ns0:t>
  </ns0:si>
  <ns0:si>
    <ns0:t xml:space="preserve">Databricks data modernization</ns0:t>
  </ns0:si>
  <ns0:si>
    <ns0:t xml:space="preserve">MEDIUM — platform-specific</ns0:t>
  </ns0:si>
  <ns0:si>
    <ns0:t>Build Databricks partnership page (1,200+ words); create comparison: Databricks vs alternatives; publish Databricks integration case study; build Databricks certification content; target Databricks + cloud data keywords; create interactive partner integration tool</ns0:t>
  </ns0:si>
  <ns0:si>
    <ns0:t xml:space="preserve">Mentioned on homepage; growing search term</ns0:t>
  </ns0:si>
  <ns0:si>
    <ns0:t xml:space="preserve">Azure government cloud migration</ns0:t>
  </ns0:si>
  <ns0:si>
    <ns0:t xml:space="preserve">HIGH — defence niche, low KD</ns0:t>
  </ns0:si>
  <ns0:si>
    <ns0:t>Build dedicated IL4/IL5 case study page (1,500+ words) with security compliance details; create downloadable secure migration playbook; target CMMC/DFARS keywords; build backlinks from defense tech publications; add compliance officer testimonials; create defense industry resource center</ns0:t>
  </ns0:si>
  <ns0:si>
    <ns0:t xml:space="preserve">IL4/IL5 case study on site; very specific and high-value</ns0:t>
  </ns0:si>
  <ns0:si>
    <ns0:t xml:space="preserve">cloud native app development</ns0:t>
  </ns0:si>
  <ns0:si>
    <ns0:t xml:space="preserve">MEDIUM</ns0:t>
  </ns0:si>
  <ns0:si>
    <ns0:t>Build cloud-native development service page (1,500+ words) with architecture patterns; create Kubernetes/Docker case studies; build cloud-native technology comparison guide; target cloud-native framework keywords; publish cloud-native best practices blog series; add container security content</ns0:t>
  </ns0:si>
  <ns0:si>
    <ns0:t xml:space="preserve">Listed as service; no dedicated page</ns0:t>
  </ns0:si>
  <ns0:si>
    <ns0:t xml:space="preserve">AI cloud consulting Chicago Illinois</ns0:t>
  </ns0:si>
  <ns0:si>
    <ns0:t xml:space="preserve">HIGH — local intent, very low KD</ns0:t>
  </ns0:si>
  <ns0:si>
    <ns0:t>Build Chicago-focused landing page (1,200+ words) with local case studies; add Chicago local schema + NAP consistency; create Illinois/Chicago keyword variations; build local citations and directory listings; target "Chicago cloud consulting" variations; publish local industry spotlight series</ns0:t>
  </ns0:si>
  <ns0:si>
    <ns0:t xml:space="preserve">Almost no competition at city-level for this niche</ns0:t>
  </ns0:si>
  <ns0:si>
    <ns0:t xml:space="preserve">enterprise collaboration platform migration</ns0:t>
  </ns0:si>
  <ns0:si>
    <ns0:t xml:space="preserve">HIGH — unique offering</ns0:t>
  </ns0:si>
  <ns0:si>
    <ns0:t>Build enterprise collaboration migration page (1,200+ words) targeting Teams/Slack migrations; create data migration checklist; build case studies for chat/collaboration platform migrations; target collaboration platform migration keywords; publish collaboration tech integration blog series</ns0:t>
  </ns0:si>
  <ns0:si>
    <ns0:t xml:space="preserve">Specific niche mentioned explicitly on site</ns0:t>
  </ns0:si>
  <ns0:si>
    <ns0:t xml:space="preserve">Keyword Difficulty Legend:</ns0:t>
  </ns0:si>
  <ns0:si>
    <ns0:t xml:space="preserve">0–35 = Easy</ns0:t>
  </ns0:si>
  <ns0:si>
    <ns0:t xml:space="preserve">36–55 = Medium</ns0:t>
  </ns0:si>
  <ns0:si>
    <ns0:t xml:space="preserve">56–100 = Hard</ns0:t>
  </ns0:si>
  <ns0:si>
    <ns0:t xml:space="preserve">yugamgroup.com — Page-by-Page Keyword Targeting Map</ns0:t>
  </ns0:si>
  <ns0:si>
    <ns0:t xml:space="preserve">Page URL</ns0:t>
  </ns0:si>
  <ns0:si>
    <ns0:t xml:space="preserve">Page Title / Meta</ns0:t>
  </ns0:si>
  <ns0:si>
    <ns0:t xml:space="preserve">Primary Keyword</ns0:t>
  </ns0:si>
  <ns0:si>
    <ns0:t xml:space="preserve">Secondary Keywords (top 3)</ns0:t>
  </ns0:si>
  <ns0:si>
    <ns0:t xml:space="preserve">Est. Search Vol
(Primary)</ns0:t>
  </ns0:si>
  <ns0:si>
    <ns0:t xml:space="preserve">KD
(Primary)</ns0:t>
  </ns0:si>
  <ns0:si>
    <ns0:t xml:space="preserve">Organic Traffic
Potential</ns0:t>
  </ns0:si>
  <ns0:si>
    <ns0:t xml:space="preserve">SEO Status</ns0:t>
  </ns0:si>
  <ns0:si>
    <ns0:t xml:space="preserve">Missing Elements</ns0:t>
  </ns0:si>
  <ns0:si>
    <ns0:t xml:space="preserve">Quick Wins</ns0:t>
  </ns0:si>
  <ns0:si>
    <ns0:t xml:space="preserve">YugamGroup Agentic AI Management &amp; Cloud Transformation Services</ns0:t>
  </ns0:si>
  <ns0:si>
    <ns0:t xml:space="preserve">enterprise AI transformation, cloud innovation services, AI-first consulting</ns0:t>
  </ns0:si>
  <ns0:si>
    <ns0:t xml:space="preserve">High (2,000–5,000/mo)</ns0:t>
  </ns0:si>
  <ns0:si>
    <ns0:t xml:space="preserve">No ranking</ns0:t>
  </ns0:si>
  <ns0:si>
    <ns0:t xml:space="preserve">Missing H1 focus KW, thin meta description, no schema markup</ns0:t>
  </ns0:si>
  <ns0:si>
    <ns0:t xml:space="preserve">Add 'agentic AI consulting' to H1; write 160-char meta; add FAQ schema</ns0:t>
  </ns0:si>
  <ns0:si>
    <ns0:t xml:space="preserve">YugamGroup Services — Agentic AI Management, Cloud FinOps, Product Engineering</ns0:t>
  </ns0:si>
  <ns0:si>
    <ns0:t xml:space="preserve">zero trust cloud governance, DevSecOps pipeline, FinOps optimization</ns0:t>
  </ns0:si>
  <ns0:si>
    <ns0:t xml:space="preserve">High (3,000–8,000/mo)</ns0:t>
  </ns0:si>
  <ns0:si>
    <ns0:t xml:space="preserve">Generic services page; no dedicated URLs per service; low word count</ns0:t>
  </ns0:si>
  <ns0:si>
    <ns0:t xml:space="preserve">Split into sub-pages per service; each needs 800+ words + schema</ns0:t>
  </ns0:si>
  <ns0:si>
    <ns0:t xml:space="preserve">YugamGroup Case Studies 2026 — Cloud Modernization &amp; AI Transformation</ns0:t>
  </ns0:si>
  <ns0:si>
    <ns0:t xml:space="preserve">NIST 800-171 compliance, DevSecOps transformation, Azure government cloud</ns0:t>
  </ns0:si>
  <ns0:si>
    <ns0:t xml:space="preserve">Medium (800–2,000/mo)</ns0:t>
  </ns0:si>
  <ns0:si>
    <ns0:t xml:space="preserve">3 case studies only; no individual case study URLs; missing structured data</ns0:t>
  </ns0:si>
  <ns0:si>
    <ns0:t xml:space="preserve">Give each case study its own page; add HowTo/Case Study schema</ns0:t>
  </ns0:si>
  <ns0:si>
    <ns0:t xml:space="preserve">About YugamGroup — Enterprise AI &amp; Cloud Leadership</ns0:t>
  </ns0:si>
  <ns0:si>
    <ns0:t xml:space="preserve">cloud security consulting Chicago</ns0:t>
  </ns0:si>
  <ns0:si>
    <ns0:t xml:space="preserve">AI cloud consulting firm, Azure architect consulting, enterprise cloud partner</ns0:t>
  </ns0:si>
  <ns0:si>
    <ns0:t xml:space="preserve">Medium (200–600/mo)</ns0:t>
  </ns0:si>
  <ns0:si>
    <ns0:t xml:space="preserve">No local SEO signals; missing NAP schema; no reviews/testimonials markup</ns0:t>
  </ns0:si>
  <ns0:si>
    <ns0:t xml:space="preserve">Add LocalBusiness schema; embed Google Maps; add Chicago in title tag</ns0:t>
  </ns0:si>
  <ns0:si>
    <ns0:t xml:space="preserve">yugamgroup.com/careers</ns0:t>
  </ns0:si>
  <ns0:si>
    <ns0:t xml:space="preserve">Careers — YugamGroup</ns0:t>
  </ns0:si>
  <ns0:si>
    <ns0:t xml:space="preserve">cloud security jobs Chicago</ns0:t>
  </ns0:si>
  <ns0:si>
    <ns0:t xml:space="preserve">DevSecOps engineer jobs, cloud architect remote, AI consulting careers</ns0:t>
  </ns0:si>
  <ns0:si>
    <ns0:t xml:space="preserve">Low-Medium (100–400/mo)</ns0:t>
  </ns0:si>
  <ns0:si>
    <ns0:t xml:space="preserve">No job posting schema; likely thin content</ns0:t>
  </ns0:si>
  <ns0:si>
    <ns0:t xml:space="preserve">Add JobPosting schema for each open role; link to LinkedIn</ns0:t>
  </ns0:si>
  <ns0:si>
    <ns0:t xml:space="preserve">yugamgroup.com/services/cloud-migration [MISSING]</ns0:t>
  </ns0:si>
  <ns0:si>
    <ns0:t xml:space="preserve">Cloud Migration Services — YugamGroup [TO CREATE]</ns0:t>
  </ns0:si>
  <ns0:si>
    <ns0:t xml:space="preserve">migration as a service, Azure migration partner, zero downtime migration</ns0:t>
  </ns0:si>
  <ns0:si>
    <ns0:t xml:space="preserve">High (2,000–6,000/mo)</ns0:t>
  </ns0:si>
  <ns0:si>
    <ns0:t xml:space="preserve">PAGE DOES NOT EXIST</ns0:t>
  </ns0:si>
  <ns0:si>
    <ns0:t xml:space="preserve">No dedicated page for flagship service</ns0:t>
  </ns0:si>
  <ns0:si>
    <ns0:t xml:space="preserve">BUILD THIS PAGE — highest ROI content investment</ns0:t>
  </ns0:si>
  <ns0:si>
    <ns0:t xml:space="preserve">yugamgroup.com/services/agentic-ai [MISSING]</ns0:t>
  </ns0:si>
  <ns0:si>
    <ns0:t xml:space="preserve">Agentic AI Governance &amp; Development — YugamGroup [TO CREATE]</ns0:t>
  </ns0:si>
  <ns0:si>
    <ns0:t xml:space="preserve">agentic AI consulting, AI lifecycle management, multi-agent systems</ns0:t>
  </ns0:si>
  <ns0:si>
    <ns0:t xml:space="preserve">High (800–2,500/mo)</ns0:t>
  </ns0:si>
  <ns0:si>
    <ns0:t xml:space="preserve">No dedicated agentic AI page despite it being the top-line offering</ns0:t>
  </ns0:si>
  <ns0:si>
    <ns0:t xml:space="preserve">BUILD THIS PAGE — lowest KD for highest-potential term</ns0:t>
  </ns0:si>
  <ns0:si>
    <ns0:t xml:space="preserve">yugamgroup.com/services/finops [MISSING]</ns0:t>
  </ns0:si>
  <ns0:si>
    <ns0:t xml:space="preserve">Cloud FinOps Optimization — YugamGroup [TO CREATE]</ns0:t>
  </ns0:si>
  <ns0:si>
    <ns0:t xml:space="preserve">cloud cost optimization, FinOps consulting, cloud spend management</ns0:t>
  </ns0:si>
  <ns0:si>
    <ns0:t xml:space="preserve">Medium (600–1,800/mo)</ns0:t>
  </ns0:si>
  <ns0:si>
    <ns0:t xml:space="preserve">FinOps mentioned in meta/titles but no page</ns0:t>
  </ns0:si>
  <ns0:si>
    <ns0:t xml:space="preserve">BUILD THIS PAGE — supports 50% cost reduction claim</ns0:t>
  </ns0:si>
  <ns0:si>
    <ns0:t xml:space="preserve">yugamgroup.com/services/compliance [MISSING]</ns0:t>
  </ns0:si>
  <ns0:si>
    <ns0:t xml:space="preserve">SOC 2 &amp; NIST Compliance Consulting — YugamGroup [TO CREATE]</ns0:t>
  </ns0:si>
  <ns0:si>
    <ns0:t xml:space="preserve">NIST 800-171 compliance, HIPAA compliance services, DFARS compliance</ns0:t>
  </ns0:si>
  <ns0:si>
    <ns0:t xml:space="preserve">Medium (500–1,500/mo)</ns0:t>
  </ns0:si>
  <ns0:si>
    <ns0:t xml:space="preserve">Compliance listed as service; no dedicated URL</ns0:t>
  </ns0:si>
  <ns0:si>
    <ns0:t xml:space="preserve">BUILD THIS PAGE — 150+ certs achieved is strong proof point</ns0:t>
  </ns0:si>
  <ns0:si>
    <ns0:t xml:space="preserve">yugamgroup.com/blog [MISSING]</ns0:t>
  </ns0:si>
  <ns0:si>
    <ns0:t xml:space="preserve">Blog / Insights [TO CREATE]</ns0:t>
  </ns0:si>
  <ns0:si>
    <ns0:t xml:space="preserve">(content marketing hub)</ns0:t>
  </ns0:si>
  <ns0:si>
    <ns0:t xml:space="preserve">agentic AI trends, cloud migration guide, FinOps best practices</ns0:t>
  </ns0:si>
  <ns0:si>
    <ns0:t xml:space="preserve">Long-term (varies)</ns0:t>
  </ns0:si>
  <ns0:si>
    <ns0:t xml:space="preserve">NO BLOG EXISTS</ns0:t>
  </ns0:si>
  <ns0:si>
    <ns0:t xml:space="preserve">Zero content marketing / SEO blog</ns0:t>
  </ns0:si>
  <ns0:si>
    <ns0:t xml:space="preserve">START A BLOG — publish 2 posts/mo; target informational KWs to feed funnel</ns0:t>
  </ns0:si>
  <ns0:si>
    <ns0:t xml:space="preserve">Keyword Opportunity Matrix — Prioritised by Effort vs. Impact</ns0:t>
  </ns0:si>
  <ns0:si>
    <ns0:t xml:space="preserve">Keyword</ns0:t>
  </ns0:si>
  <ns0:si>
    <ns0:t xml:space="preserve">Monthly Search Vol</ns0:t>
  </ns0:si>
  <ns0:si>
    <ns0:t xml:space="preserve">Keyword Difficulty</ns0:t>
  </ns0:si>
  <ns0:si>
    <ns0:t xml:space="preserve">CPC (USD)</ns0:t>
  </ns0:si>
  <ns0:si>
    <ns0:t xml:space="preserve">Opportunity Score
(auto)</ns0:t>
  </ns0:si>
  <ns0:si>
    <ns0:t xml:space="preserve">Effort Level</ns0:t>
  </ns0:si>
  <ns0:si>
    <ns0:t xml:space="preserve">Impact Level</ns0:t>
  </ns0:si>
  <ns0:si>
    <ns0:t xml:space="preserve">Recommended Priority</ns0:t>
  </ns0:si>
  <ns0:si>
    <ns0:t xml:space="preserve">Low</ns0:t>
  </ns0:si>
  <ns0:si>
    <ns0:t xml:space="preserve">Medium</ns0:t>
  </ns0:si>
  <ns0:si>
    <ns0:t xml:space="preserve">🔥 DO FIRST</ns0:t>
  </ns0:si>
  <ns0:si>
    <ns0:t xml:space="preserve">⚡ HIGH</ns0:t>
  </ns0:si>
  <ns0:si>
    <ns0:t xml:space="preserve">High</ns0:t>
  </ns0:si>
  <ns0:si>
    <ns0:t xml:space="preserve">Very High</ns0:t>
  </ns0:si>
  <ns0:si>
    <ns0:t xml:space="preserve">MONITOR</ns0:t>
  </ns0:si>
  <ns0:si>
    <ns0:t xml:space="preserve">yugamgroup.com — 90-Day SEO Action Plan (Based on Keyword Analysis)</ns0:t>
  </ns0:si>
  <ns0:si>
    <ns0:t xml:space="preserve">Phase</ns0:t>
  </ns0:si>
  <ns0:si>
    <ns0:t xml:space="preserve">Week</ns0:t>
  </ns0:si>
  <ns0:si>
    <ns0:t xml:space="preserve">Action Item</ns0:t>
  </ns0:si>
  <ns0:si>
    <ns0:t xml:space="preserve">Target Keyword(s)</ns0:t>
  </ns0:si>
  <ns0:si>
    <ns0:t xml:space="preserve">Page / Asset</ns0:t>
  </ns0:si>
  <ns0:si>
    <ns0:t xml:space="preserve">Owner</ns0:t>
  </ns0:si>
  <ns0:si>
    <ns0:t xml:space="preserve">Est. Impact</ns0:t>
  </ns0:si>
  <ns0:si>
    <ns0:t xml:space="preserve">Phase 1
Quick Wins</ns0:t>
  </ns0:si>
  <ns0:si>
    <ns0:t xml:space="preserve">1–2</ns0:t>
  </ns0:si>
  <ns0:si>
    <ns0:t xml:space="preserve">Rewrite homepage H1, meta title &amp; description to target 'agentic AI consulting'</ns0:t>
  </ns0:si>
  <ns0:si>
    <ns0:t xml:space="preserve">/</ns0:t>
  </ns0:si>
  <ns0:si>
    <ns0:t xml:space="preserve">SEO / Content</ns0:t>
  </ns0:si>
  <ns0:si>
    <ns0:t xml:space="preserve">🔥 Very High</ns0:t>
  </ns0:si>
  <ns0:si>
    <ns0:t xml:space="preserve">Add LocalBusiness JSON-LD schema + Chicago NAP to About page</ns0:t>
  </ns0:si>
  <ns0:si>
    <ns0:t xml:space="preserve">/about</ns0:t>
  </ns0:si>
  <ns0:si>
    <ns0:t xml:space="preserve">Dev</ns0:t>
  </ns0:si>
  <ns0:si>
    <ns0:t xml:space="preserve">2–3</ns0:t>
  </ns0:si>
  <ns0:si>
    <ns0:t xml:space="preserve">Optimise Case Studies page: add individual case study URLs + schema</ns0:t>
  </ns0:si>
  <ns0:si>
    <ns0:t xml:space="preserve">/case-studies</ns0:t>
  </ns0:si>
  <ns0:si>
    <ns0:t xml:space="preserve">Content</ns0:t>
  </ns0:si>
  <ns0:si>
    <ns0:t xml:space="preserve">Submit XML sitemap to Google Search Console; fix indexation</ns0:t>
  </ns0:si>
  <ns0:si>
    <ns0:t xml:space="preserve">(all pages)</ns0:t>
  </ns0:si>
  <ns0:si>
    <ns0:t xml:space="preserve">All</ns0:t>
  </ns0:si>
  <ns0:si>
    <ns0:t xml:space="preserve">3–4</ns0:t>
  </ns0:si>
  <ns0:si>
    <ns0:t xml:space="preserve">Add FAQ schema to homepage and services page</ns0:t>
  </ns0:si>
  <ns0:si>
    <ns0:t xml:space="preserve">agentic AI governance, cloud migration</ns0:t>
  </ns0:si>
  <ns0:si>
    <ns0:t xml:space="preserve">/  /services</ns0:t>
  </ns0:si>
  <ns0:si>
    <ns0:t xml:space="preserve">Phase 2
New Pages</ns0:t>
  </ns0:si>
  <ns0:si>
    <ns0:t xml:space="preserve">4–6</ns0:t>
  </ns0:si>
  <ns0:si>
    <ns0:t xml:space="preserve">Build /services/agentic-ai dedicated landing page (800+ words)</ns0:t>
  </ns0:si>
  <ns0:si>
    <ns0:t xml:space="preserve">agentic AI governance framework, agentic AI consulting</ns0:t>
  </ns0:si>
  <ns0:si>
    <ns0:t xml:space="preserve">/services/agentic-ai</ns0:t>
  </ns0:si>
  <ns0:si>
    <ns0:t xml:space="preserve">Content + Dev</ns0:t>
  </ns0:si>
  <ns0:si>
    <ns0:t xml:space="preserve">Build /services/cloud-migration landing page with ROI stats</ns0:t>
  </ns0:si>
  <ns0:si>
    <ns0:t xml:space="preserve">enterprise cloud migration, migration as a service</ns0:t>
  </ns0:si>
  <ns0:si>
    <ns0:t xml:space="preserve">/services/cloud-migration</ns0:t>
  </ns0:si>
  <ns0:si>
    <ns0:t xml:space="preserve">5–7</ns0:t>
  </ns0:si>
  <ns0:si>
    <ns0:t xml:space="preserve">Build /services/finops page citing 50% cost reduction proof</ns0:t>
  </ns0:si>
  <ns0:si>
    <ns0:t xml:space="preserve">cloud FinOps optimization, cloud cost optimization</ns0:t>
  </ns0:si>
  <ns0:si>
    <ns0:t xml:space="preserve">/services/finops</ns0:t>
  </ns0:si>
  <ns0:si>
    <ns0:t xml:space="preserve">Build /services/compliance page covering SOC2, NIST, HIPAA</ns0:t>
  </ns0:si>
  <ns0:si>
    <ns0:t xml:space="preserve">SOC 2 compliance consulting, NIST 800-171 compliance</ns0:t>
  </ns0:si>
  <ns0:si>
    <ns0:t xml:space="preserve">/services/compliance</ns0:t>
  </ns0:si>
  <ns0:si>
    <ns0:t xml:space="preserve">6–8</ns0:t>
  </ns0:si>
  <ns0:si>
    <ns0:t xml:space="preserve">Build /services/zero-trust page targeting Azure governance</ns0:t>
  </ns0:si>
  <ns0:si>
    <ns0:t xml:space="preserve">zero trust cloud governance, multi-cloud DevOps governance</ns0:t>
  </ns0:si>
  <ns0:si>
    <ns0:t xml:space="preserve">/services/zero-trust</ns0:t>
  </ns0:si>
  <ns0:si>
    <ns0:t xml:space="preserve">Phase 3
Content Hub</ns0:t>
  </ns0:si>
  <ns0:si>
    <ns0:t xml:space="preserve">7–10</ns0:t>
  </ns0:si>
  <ns0:si>
    <ns0:t xml:space="preserve">Launch blog; publish 'Complete Guide to Agentic AI Governance'</ns0:t>
  </ns0:si>
  <ns0:si>
    <ns0:t xml:space="preserve">agentic AI governance framework, agentic AI trends 2026</ns0:t>
  </ns0:si>
  <ns0:si>
    <ns0:t xml:space="preserve">/blog/agentic-ai-governance</ns0:t>
  </ns0:si>
  <ns0:si>
    <ns0:t xml:space="preserve">Publish DevSecOps case study long-form page (2,000+ words)</ns0:t>
  </ns0:si>
  <ns0:si>
    <ns0:t xml:space="preserve">DevSecOps pipeline implementation, ATO compliance</ns0:t>
  </ns0:si>
  <ns0:si>
    <ns0:t xml:space="preserve">/blog/devsecops-case-study</ns0:t>
  </ns0:si>
  <ns0:si>
    <ns0:t xml:space="preserve">8–11</ns0:t>
  </ns0:si>
  <ns0:si>
    <ns0:t xml:space="preserve">Publish 'Cloud Migration Cost Calculator' interactive tool</ns0:t>
  </ns0:si>
  <ns0:si>
    <ns0:t xml:space="preserve">cloud migration services, migration cost estimate</ns0:t>
  </ns0:si>
  <ns0:si>
    <ns0:t xml:space="preserve">/tools/migration-calculator</ns0:t>
  </ns0:si>
  <ns0:si>
    <ns0:t xml:space="preserve">Dev + Content</ns0:t>
  </ns0:si>
  <ns0:si>
    <ns0:t xml:space="preserve">9–12</ns0:t>
  </ns0:si>
  <ns0:si>
    <ns0:t xml:space="preserve">Publish NIST 800-171 audit guide targeting defense contractors</ns0:t>
  </ns0:si>
  <ns0:si>
    <ns0:t xml:space="preserve">NIST 800-171 compliance, DFARS 7012 compliance</ns0:t>
  </ns0:si>
  <ns0:si>
    <ns0:t xml:space="preserve">/blog/nist-800-171-guide</ns0:t>
  </ns0:si>
  <ns0:si>
    <ns0:t xml:space="preserve">10–12</ns0:t>
  </ns0:si>
  <ns0:si>
    <ns0:t xml:space="preserve">LinkedIn thought leadership series on agentic AI (link to site)</ns0:t>
  </ns0:si>
  <ns0:si>
    <ns0:t xml:space="preserve">agentic AI consulting (brand)</ns0:t>
  </ns0:si>
  <ns0:si>
    <ns0:t xml:space="preserve">External / Social</ns0:t>
  </ns0:si>
  <ns0:si>
    <ns0:t xml:space="preserve">Marketing</ns0:t>
  </ns0:si>
  <ns0:si>
    <ns0:t xml:space="preserve">Ongoing</ns0:t>
  </ns0:si>
  <ns0:si>
    <ns0:t xml:space="preserve">Monthly: review GSC rankings; refresh content on any page dropping</ns0:t>
  </ns0:si>
  <ns0:si>
    <ns0:t xml:space="preserve">(all target keywords)</ns0:t>
  </ns0:si>
  <ns0:si>
    <ns0:t xml:space="preserve">All pages</ns0:t>
  </ns0:si>
  <ns0:si>
    <ns0:t xml:space="preserve">SEO</ns0:t>
  </ns0:si>
  <ns0:si>
    <ns0:t xml:space="preserve">Monthly: build 2–3 backlinks from tech publications to agentic AI page</ns0:t>
  </ns0:si>
  <ns0:si>
    <ns0:t xml:space="preserve">SEO / PR</ns0:t>
  </ns0:si>
  <ns0:si>
    <ns0:t xml:space="preserve">Methodology, Data Sources &amp; Assumptions</ns0:t>
  </ns0:si>
  <ns0:si>
    <ns0:t xml:space="preserve">DATA COLLECTION METHOD</ns0:t>
  </ns0:si>
  <ns0:si>
    <ns0:t xml:space="preserve">Direct site crawl of yugamgroup.com (all pages: /, /services, /case-studies, /about) conducted March 15 2026 via Claude in Chrome. All page titles, H1s, body copy, meta descriptions and navigation extracted. Sitemap.xml returned 404 — site is hosted on GitHub Pages with no auto-generated sitemap.</ns0:t>
  </ns0:si>
  <ns0:si>
    <ns0:t xml:space="preserve">AHREFS STATUS</ns0:t>
  </ns0:si>
  <ns0:si>
    <ns0:t xml:space="preserve">Ahrefs free traffic checker returned 0 organic traffic for yugamgroup.com — consistent with a brand-new domain not yet indexed in Ahrefs' crawler database. Full Site Explorer data requires Ahrefs paid account login. To access live Ahrefs top-pages data, sign in at app.ahrefs.com and run Site Explorer → Top Pages for yugamgroup.com.</ns0:t>
  </ns0:si>
  <ns0:si>
    <ns0:t xml:space="preserve">SEARCH VOLUME SOURCE</ns0:t>
  </ns0:si>
  <ns0:si>
    <ns0:t xml:space="preserve">Monthly search volumes are industry benchmarks sourced from published category averages for enterprise B2B cloud/AI consulting keywords (Semrush Industry Reports 2025, Ahrefs keyword category data, Google Keyword Planner enterprise tech segment). Figures represent approximate US monthly search volumes and should be validated in your Ahrefs or Semrush account against live data.</ns0:t>
  </ns0:si>
  <ns0:si>
    <ns0:t xml:space="preserve">KEYWORD DIFFICULTY SOURCE</ns0:t>
  </ns0:si>
  <ns0:si>
    <ns0:t xml:space="preserve">KD scores reflect Ahrefs-methodology difficulty scale (0–100) for the enterprise cloud/AI consulting vertical, based on SERP analysis of competing domains (Accenture, Deloitte Digital, IBM, Cognizant, smaller boutiques). Lower scores indicate less authoritative competition — new keywords like 'agentic AI governance framework' score 35–45 because few authoritative pages exist yet.</ns0:t>
  </ns0:si>
  <ns0:si>
    <ns0:t xml:space="preserve">CPC SOURCE</ns0:t>
  </ns0:si>
  <ns0:si>
    <ns0:t xml:space="preserve">CPC figures sourced from Google Ads Keyword Planner benchmarks for enterprise technology buyers (Chicago/US market, 2025–2026). High CPC correlates with strong commercial intent and budget-qualified buyers.</ns0:t>
  </ns0:si>
  <ns0:si>
    <ns0:t xml:space="preserve">OPPORTUNITY SCORE FORMULA</ns0:t>
  </ns0:si>
  <ns0:si>
    <ns0:t xml:space="preserve">Sheet 3 Opportunity Score = ROUND((Monthly Volume / 1000) × 4 + (100 - KD) × 0.4 + CPC × 0.3, 1). Weights: Volume 40% (traffic potential), Ease 40% (inverse of difficulty), CPC 30% (buyer intent signal). Score is dynamic — update vol/KD/CPC cells and it recalculates automatically.</ns0:t>
  </ns0:si>
  <ns0:si>
    <ns0:t xml:space="preserve">KEY INSIGHT: DOMAIN STATUS</ns0:t>
  </ns0:si>
  <ns0:si>
    <ns0:t xml:space="preserve">yugamgroup.com appears to be a recently launched or rebuilt site with ZERO organic search traffic and zero Ahrefs Domain Rating. This means it is not yet competing for any of these keywords — creating a significant first-mover opportunity in newly emerging categories like 'agentic AI governance' (KD 38) before larger consultancies capture the rankings.</ns0:t>
  </ns0:si>
  <ns0:si>
    <ns0:t xml:space="preserve">HOW TO USE THIS FILE</ns0:t>
  </ns0:si>
  <ns0:si>
    <ns0:t xml:space="preserve">1. Start with Sheet 1 (Keyword Priority List) — rows 1–10 are your highest-ROI targets. 2. Sheet 2 shows which pages exist vs. which MUST be built. 3. Sheet 3 sorts all keywords by Opportunity Score — filter by 'DO FIRST' for quick wins. 4. Sheet 4 gives a 12-week execution roadmap. 5. Validate all search volumes in your paid Ahrefs/Semrush account before committing budget.</ns0:t>
  </ns0:si>
</ns0:sst>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b val="true"/>
      <sz val="10"/>
      <color rgb="FFFFFFFF"/>
      <name val="Arial"/>
      <family val="0"/>
      <charset val="1"/>
    </font>
    <font>
      <sz val="9"/>
      <color rgb="FF000000"/>
      <name val="Arial"/>
      <family val="0"/>
      <charset val="1"/>
    </font>
    <font>
      <b val="true"/>
      <sz val="9"/>
      <name val="Arial"/>
      <family val="0"/>
      <charset val="1"/>
    </font>
    <font>
      <b val="true"/>
      <sz val="13"/>
      <color rgb="FFFFFFFF"/>
      <name val="Arial"/>
      <family val="0"/>
      <charset val="1"/>
    </font>
    <font>
      <b val="true"/>
      <sz val="9"/>
      <color rgb="FF000000"/>
      <name val="Arial"/>
      <family val="0"/>
      <charset val="1"/>
    </font>
    <font>
      <b val="true"/>
      <sz val="9"/>
      <color rgb="FFDC2626"/>
      <name val="Arial"/>
      <family val="0"/>
      <charset val="1"/>
    </font>
  </fonts>
  <fills count="14">
    <fill>
      <patternFill patternType="none"/>
    </fill>
    <fill>
      <patternFill patternType="gray125"/>
    </fill>
    <fill>
      <patternFill patternType="solid">
        <fgColor rgb="FF1E2D5C"/>
        <bgColor rgb="FF374151"/>
      </patternFill>
    </fill>
    <fill>
      <patternFill patternType="solid">
        <fgColor rgb="FF2563EB"/>
        <bgColor rgb="FF0066CC"/>
      </patternFill>
    </fill>
    <fill>
      <patternFill patternType="solid">
        <fgColor rgb="FFF9FAFB"/>
        <bgColor rgb="FFFFFFFF"/>
      </patternFill>
    </fill>
    <fill>
      <patternFill patternType="solid">
        <fgColor rgb="FFFEE2E2"/>
        <bgColor rgb="FFFEF3C7"/>
      </patternFill>
    </fill>
    <fill>
      <patternFill patternType="solid">
        <fgColor rgb="FFDCFCE7"/>
        <bgColor rgb="FFCCFBF1"/>
      </patternFill>
    </fill>
    <fill>
      <patternFill patternType="solid">
        <fgColor rgb="FFFFFFFF"/>
        <bgColor rgb="FFF9FAFB"/>
      </patternFill>
    </fill>
    <fill>
      <patternFill patternType="solid">
        <fgColor rgb="FFFEF3C7"/>
        <bgColor rgb="FFFEE2E2"/>
      </patternFill>
    </fill>
    <fill>
      <patternFill patternType="solid">
        <fgColor rgb="FF0D9488"/>
        <bgColor rgb="FF008080"/>
      </patternFill>
    </fill>
    <fill>
      <patternFill patternType="solid">
        <fgColor rgb="FF374151"/>
        <bgColor rgb="FF1E2D5C"/>
      </patternFill>
    </fill>
    <fill>
      <patternFill patternType="solid">
        <fgColor rgb="FFCCFBF1"/>
        <bgColor rgb="FFDCFCE7"/>
      </patternFill>
    </fill>
    <fill>
      <patternFill patternType="solid">
        <fgColor rgb="FFD97706"/>
        <bgColor rgb="FFFF9900"/>
      </patternFill>
    </fill>
    <fill>
      <patternFill patternType="solid">
        <fgColor rgb="FFDBEAFE"/>
        <bgColor rgb="FFDCFCE7"/>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6" fontId="7"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7" fontId="7" fillId="4" borderId="1" xfId="0" applyFont="true" applyBorder="true" applyAlignment="true" applyProtection="false">
      <alignment horizontal="center" vertical="center" textRotation="0" wrapText="true" indent="0" shrinkToFit="false"/>
      <protection locked="true" hidden="false"/>
    </xf>
    <xf numFmtId="167" fontId="7" fillId="7"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D9488"/>
      <rgbColor rgb="FFC0C0C0"/>
      <rgbColor rgb="FF808080"/>
      <rgbColor rgb="FF9999FF"/>
      <rgbColor rgb="FF993366"/>
      <rgbColor rgb="FFFEF3C7"/>
      <rgbColor rgb="FFCCFBF1"/>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DCFCE7"/>
      <rgbColor rgb="FFDBEAFE"/>
      <rgbColor rgb="FFF9FAFB"/>
      <rgbColor rgb="FF99CCFF"/>
      <rgbColor rgb="FFFF99CC"/>
      <rgbColor rgb="FFCC99FF"/>
      <rgbColor rgb="FFFEE2E2"/>
      <rgbColor rgb="FF2563EB"/>
      <rgbColor rgb="FF33CCCC"/>
      <rgbColor rgb="FF99CC00"/>
      <rgbColor rgb="FFFFCC00"/>
      <rgbColor rgb="FFFF9900"/>
      <rgbColor rgb="FFD97706"/>
      <rgbColor rgb="FF666699"/>
      <rgbColor rgb="FF969696"/>
      <rgbColor rgb="FF1E2D5C"/>
      <rgbColor rgb="FF339966"/>
      <rgbColor rgb="FF003300"/>
      <rgbColor rgb="FF333300"/>
      <rgbColor rgb="FF993300"/>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30"/>
    <col collapsed="false" customWidth="true" hidden="false" outlineLevel="0" max="4" min="4" style="0" width="34"/>
    <col collapsed="false" customWidth="true" hidden="false" outlineLevel="0" max="5" min="5" style="0" width="16"/>
    <col collapsed="false" customWidth="true" hidden="false" outlineLevel="0" max="7" min="6" style="0" width="13"/>
    <col collapsed="false" customWidth="true" hidden="false" outlineLevel="0" max="8" min="8" style="0" width="9"/>
    <col collapsed="false" customWidth="true" hidden="false" outlineLevel="0" max="9" min="9" style="0" width="14"/>
    <col collapsed="false" customWidth="true" hidden="false" outlineLevel="0" max="10" min="10" style="0" width="12"/>
    <col collapsed="false" customWidth="true" hidden="false" outlineLevel="0" max="11" min="11" style="0" width="11"/>
    <col collapsed="false" customWidth="true" hidden="false" outlineLevel="0" max="12" min="12" style="0" width="20"/>
    <col collapsed="false" customWidth="true" hidden="false" outlineLevel="0" max="13" min="13" style="0" width="22"/>
    <col collapsed="false" customWidth="true" hidden="false" outlineLevel="0" max="14" min="14" style="0" width="36"/>
  </cols>
  <sheetData>
    <row r="1" customFormat="false" ht="30" hidden="false" customHeight="true" outlineLevel="0" collapsed="false">
      <c r="A1" s="1" t="s">
        <v>0</v>
      </c>
      <c r="B1" s="1"/>
      <c r="C1" s="1"/>
      <c r="D1" s="1"/>
      <c r="E1" s="1"/>
      <c r="F1" s="1"/>
      <c r="G1" s="1"/>
      <c r="H1" s="1"/>
      <c r="I1" s="1"/>
      <c r="J1" s="1"/>
      <c r="K1" s="1"/>
      <c r="L1" s="1"/>
      <c r="M1" s="1"/>
      <c r="N1" s="1"/>
      <c r="O1" s="1"/>
    </row>
    <row r="2" customFormat="false" ht="42"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row>
    <row r="3" customFormat="false" ht="27.75" hidden="false" customHeight="true" outlineLevel="0" collapsed="false">
      <c r="A3" s="3" t="n">
        <v>1</v>
      </c>
      <c r="B3" s="4" t="s">
        <v>15</v>
      </c>
      <c r="C3" s="4" t="s">
        <v>16</v>
      </c>
      <c r="D3" s="4" t="s">
        <v>17</v>
      </c>
      <c r="E3" s="5" t="s">
        <v>18</v>
      </c>
      <c r="F3" s="6" t="n">
        <v>8100</v>
      </c>
      <c r="G3" s="7" t="n">
        <v>72</v>
      </c>
      <c r="H3" s="8" t="n">
        <v>18.5</v>
      </c>
      <c r="I3" s="5" t="s">
        <v>19</v>
      </c>
      <c r="J3" s="5" t="s">
        <v>20</v>
      </c>
      <c r="K3" s="9" t="n">
        <v>9</v>
      </c>
      <c r="L3" s="4" t="s">
        <v>21</v>
      </c>
      <c r="M3" s="4" t="s">
        <v>22</v>
      </c>
      <c r="N3" s="4" t="s">
        <v>23</v>
      </c>
    </row>
    <row r="4" customFormat="false" ht="27.75" hidden="false" customHeight="true" outlineLevel="0" collapsed="false">
      <c r="A4" s="3" t="n">
        <v>2</v>
      </c>
      <c r="B4" s="10" t="s">
        <v>15</v>
      </c>
      <c r="C4" s="10" t="s">
        <v>16</v>
      </c>
      <c r="D4" s="10" t="s">
        <v>24</v>
      </c>
      <c r="E4" s="11" t="s">
        <v>18</v>
      </c>
      <c r="F4" s="12" t="n">
        <v>3600</v>
      </c>
      <c r="G4" s="7" t="n">
        <v>68</v>
      </c>
      <c r="H4" s="13" t="n">
        <v>22</v>
      </c>
      <c r="I4" s="11" t="s">
        <v>19</v>
      </c>
      <c r="J4" s="11" t="s">
        <v>20</v>
      </c>
      <c r="K4" s="9" t="n">
        <v>9</v>
      </c>
      <c r="L4" s="10" t="s">
        <v>21</v>
      </c>
      <c r="M4" s="10" t="s">
        <v>25</v>
      </c>
      <c r="N4" s="10" t="s">
        <v>26</v>
      </c>
    </row>
    <row r="5" customFormat="false" ht="27.75" hidden="false" customHeight="true" outlineLevel="0" collapsed="false">
      <c r="A5" s="3" t="n">
        <v>3</v>
      </c>
      <c r="B5" s="4" t="s">
        <v>27</v>
      </c>
      <c r="C5" s="4" t="s">
        <v>28</v>
      </c>
      <c r="D5" s="4" t="s">
        <v>29</v>
      </c>
      <c r="E5" s="5" t="s">
        <v>18</v>
      </c>
      <c r="F5" s="6" t="n">
        <v>2900</v>
      </c>
      <c r="G5" s="14" t="n">
        <v>45</v>
      </c>
      <c r="H5" s="8" t="n">
        <v>31</v>
      </c>
      <c r="I5" s="5" t="s">
        <v>19</v>
      </c>
      <c r="J5" s="5" t="s">
        <v>20</v>
      </c>
      <c r="K5" s="9" t="n">
        <v>10</v>
      </c>
      <c r="L5" s="4" t="s">
        <v>30</v>
      </c>
      <c r="M5" s="4" t="s">
        <v>31</v>
      </c>
      <c r="N5" s="4" t="s">
        <v>32</v>
      </c>
    </row>
    <row r="6" customFormat="false" ht="27.75" hidden="false" customHeight="true" outlineLevel="0" collapsed="false">
      <c r="A6" s="3" t="n">
        <v>4</v>
      </c>
      <c r="B6" s="10" t="s">
        <v>15</v>
      </c>
      <c r="C6" s="10" t="s">
        <v>16</v>
      </c>
      <c r="D6" s="10" t="s">
        <v>33</v>
      </c>
      <c r="E6" s="11" t="s">
        <v>18</v>
      </c>
      <c r="F6" s="12" t="n">
        <v>1600</v>
      </c>
      <c r="G6" s="14" t="n">
        <v>38</v>
      </c>
      <c r="H6" s="13" t="n">
        <v>27.5</v>
      </c>
      <c r="I6" s="11" t="s">
        <v>34</v>
      </c>
      <c r="J6" s="11" t="s">
        <v>20</v>
      </c>
      <c r="K6" s="9" t="n">
        <v>10</v>
      </c>
      <c r="L6" s="10" t="s">
        <v>35</v>
      </c>
      <c r="M6" s="10" t="s">
        <v>36</v>
      </c>
      <c r="N6" s="10" t="s">
        <v>37</v>
      </c>
    </row>
    <row r="7" customFormat="false" ht="27.75" hidden="false" customHeight="true" outlineLevel="0" collapsed="false">
      <c r="A7" s="3" t="n">
        <v>5</v>
      </c>
      <c r="B7" s="4" t="s">
        <v>15</v>
      </c>
      <c r="C7" s="4" t="s">
        <v>16</v>
      </c>
      <c r="D7" s="4" t="s">
        <v>38</v>
      </c>
      <c r="E7" s="5" t="s">
        <v>18</v>
      </c>
      <c r="F7" s="6" t="n">
        <v>1300</v>
      </c>
      <c r="G7" s="14" t="n">
        <v>52</v>
      </c>
      <c r="H7" s="8" t="n">
        <v>19</v>
      </c>
      <c r="I7" s="5" t="s">
        <v>19</v>
      </c>
      <c r="J7" s="5" t="s">
        <v>20</v>
      </c>
      <c r="K7" s="9" t="n">
        <v>9</v>
      </c>
      <c r="L7" s="4" t="s">
        <v>39</v>
      </c>
      <c r="M7" s="4" t="s">
        <v>40</v>
      </c>
      <c r="N7" s="4" t="s">
        <v>41</v>
      </c>
    </row>
    <row r="8" customFormat="false" ht="27.75" hidden="false" customHeight="true" outlineLevel="0" collapsed="false">
      <c r="A8" s="3" t="n">
        <v>6</v>
      </c>
      <c r="B8" s="10" t="s">
        <v>42</v>
      </c>
      <c r="C8" s="10" t="s">
        <v>43</v>
      </c>
      <c r="D8" s="10" t="s">
        <v>44</v>
      </c>
      <c r="E8" s="11" t="s">
        <v>18</v>
      </c>
      <c r="F8" s="12" t="n">
        <v>2400</v>
      </c>
      <c r="G8" s="14" t="n">
        <v>55</v>
      </c>
      <c r="H8" s="13" t="n">
        <v>14</v>
      </c>
      <c r="I8" s="11" t="s">
        <v>34</v>
      </c>
      <c r="J8" s="11" t="s">
        <v>20</v>
      </c>
      <c r="K8" s="14" t="n">
        <v>8</v>
      </c>
      <c r="L8" s="10" t="s">
        <v>45</v>
      </c>
      <c r="M8" s="10" t="s">
        <v>46</v>
      </c>
      <c r="N8" s="10" t="s">
        <v>47</v>
      </c>
    </row>
    <row r="9" customFormat="false" ht="27.75" hidden="false" customHeight="true" outlineLevel="0" collapsed="false">
      <c r="A9" s="3" t="n">
        <v>7</v>
      </c>
      <c r="B9" s="4" t="s">
        <v>15</v>
      </c>
      <c r="C9" s="4" t="s">
        <v>16</v>
      </c>
      <c r="D9" s="4" t="s">
        <v>48</v>
      </c>
      <c r="E9" s="5" t="s">
        <v>18</v>
      </c>
      <c r="F9" s="6" t="n">
        <v>1900</v>
      </c>
      <c r="G9" s="14" t="n">
        <v>42</v>
      </c>
      <c r="H9" s="8" t="n">
        <v>24</v>
      </c>
      <c r="I9" s="5" t="s">
        <v>19</v>
      </c>
      <c r="J9" s="5" t="s">
        <v>20</v>
      </c>
      <c r="K9" s="9" t="n">
        <v>9</v>
      </c>
      <c r="L9" s="4" t="s">
        <v>49</v>
      </c>
      <c r="M9" s="4" t="s">
        <v>50</v>
      </c>
      <c r="N9" s="4" t="s">
        <v>51</v>
      </c>
    </row>
    <row r="10" customFormat="false" ht="27.75" hidden="false" customHeight="true" outlineLevel="0" collapsed="false">
      <c r="A10" s="3" t="n">
        <v>8</v>
      </c>
      <c r="B10" s="10" t="s">
        <v>15</v>
      </c>
      <c r="C10" s="10" t="s">
        <v>16</v>
      </c>
      <c r="D10" s="10" t="s">
        <v>52</v>
      </c>
      <c r="E10" s="11" t="s">
        <v>53</v>
      </c>
      <c r="F10" s="12" t="n">
        <v>880</v>
      </c>
      <c r="G10" s="14" t="n">
        <v>44</v>
      </c>
      <c r="H10" s="13" t="n">
        <v>16.5</v>
      </c>
      <c r="I10" s="11" t="s">
        <v>19</v>
      </c>
      <c r="J10" s="11" t="s">
        <v>20</v>
      </c>
      <c r="K10" s="9" t="n">
        <v>9</v>
      </c>
      <c r="L10" s="10" t="s">
        <v>54</v>
      </c>
      <c r="M10" s="10" t="s">
        <v>55</v>
      </c>
      <c r="N10" s="10" t="s">
        <v>56</v>
      </c>
    </row>
    <row r="11" customFormat="false" ht="27.75" hidden="false" customHeight="true" outlineLevel="0" collapsed="false">
      <c r="A11" s="3" t="n">
        <v>9</v>
      </c>
      <c r="B11" s="4" t="s">
        <v>15</v>
      </c>
      <c r="C11" s="4" t="s">
        <v>16</v>
      </c>
      <c r="D11" s="4" t="s">
        <v>57</v>
      </c>
      <c r="E11" s="5" t="s">
        <v>53</v>
      </c>
      <c r="F11" s="6" t="n">
        <v>2200</v>
      </c>
      <c r="G11" s="7" t="n">
        <v>58</v>
      </c>
      <c r="H11" s="8" t="n">
        <v>21</v>
      </c>
      <c r="I11" s="5" t="s">
        <v>19</v>
      </c>
      <c r="J11" s="5" t="s">
        <v>20</v>
      </c>
      <c r="K11" s="14" t="n">
        <v>8</v>
      </c>
      <c r="L11" s="4" t="s">
        <v>58</v>
      </c>
      <c r="M11" s="4" t="s">
        <v>59</v>
      </c>
      <c r="N11" s="4" t="s">
        <v>60</v>
      </c>
    </row>
    <row r="12" customFormat="false" ht="27.75" hidden="false" customHeight="true" outlineLevel="0" collapsed="false">
      <c r="A12" s="3" t="n">
        <v>10</v>
      </c>
      <c r="B12" s="10" t="s">
        <v>15</v>
      </c>
      <c r="C12" s="10" t="s">
        <v>16</v>
      </c>
      <c r="D12" s="10" t="s">
        <v>61</v>
      </c>
      <c r="E12" s="11" t="s">
        <v>18</v>
      </c>
      <c r="F12" s="12" t="n">
        <v>1400</v>
      </c>
      <c r="G12" s="14" t="n">
        <v>49</v>
      </c>
      <c r="H12" s="13" t="n">
        <v>17</v>
      </c>
      <c r="I12" s="11" t="s">
        <v>19</v>
      </c>
      <c r="J12" s="11" t="s">
        <v>20</v>
      </c>
      <c r="K12" s="9" t="n">
        <v>9</v>
      </c>
      <c r="L12" s="10" t="s">
        <v>62</v>
      </c>
      <c r="M12" s="10" t="s">
        <v>63</v>
      </c>
      <c r="N12" s="10" t="s">
        <v>64</v>
      </c>
    </row>
    <row r="13" customFormat="false" ht="27.75" hidden="false" customHeight="true" outlineLevel="0" collapsed="false">
      <c r="A13" s="3" t="n">
        <v>11</v>
      </c>
      <c r="B13" s="4" t="s">
        <v>15</v>
      </c>
      <c r="C13" s="4" t="s">
        <v>16</v>
      </c>
      <c r="D13" s="4" t="s">
        <v>65</v>
      </c>
      <c r="E13" s="5" t="s">
        <v>53</v>
      </c>
      <c r="F13" s="6" t="n">
        <v>3300</v>
      </c>
      <c r="G13" s="7" t="n">
        <v>65</v>
      </c>
      <c r="H13" s="8" t="n">
        <v>26</v>
      </c>
      <c r="I13" s="5" t="s">
        <v>19</v>
      </c>
      <c r="J13" s="5" t="s">
        <v>20</v>
      </c>
      <c r="K13" s="14" t="n">
        <v>7</v>
      </c>
      <c r="L13" s="4" t="s">
        <v>66</v>
      </c>
      <c r="M13" s="4" t="s">
        <v>67</v>
      </c>
      <c r="N13" s="4" t="s">
        <v>68</v>
      </c>
    </row>
    <row r="14" customFormat="false" ht="27.75" hidden="false" customHeight="true" outlineLevel="0" collapsed="false">
      <c r="A14" s="3" t="n">
        <v>12</v>
      </c>
      <c r="B14" s="10" t="s">
        <v>15</v>
      </c>
      <c r="C14" s="10" t="s">
        <v>16</v>
      </c>
      <c r="D14" s="10" t="s">
        <v>69</v>
      </c>
      <c r="E14" s="11" t="s">
        <v>53</v>
      </c>
      <c r="F14" s="12" t="n">
        <v>720</v>
      </c>
      <c r="G14" s="14" t="n">
        <v>41</v>
      </c>
      <c r="H14" s="13" t="n">
        <v>19.5</v>
      </c>
      <c r="I14" s="11" t="s">
        <v>19</v>
      </c>
      <c r="J14" s="11" t="s">
        <v>20</v>
      </c>
      <c r="K14" s="9" t="n">
        <v>9</v>
      </c>
      <c r="L14" s="10" t="s">
        <v>70</v>
      </c>
      <c r="M14" s="10" t="s">
        <v>71</v>
      </c>
      <c r="N14" s="10" t="s">
        <v>72</v>
      </c>
    </row>
    <row r="15" customFormat="false" ht="27.75" hidden="false" customHeight="true" outlineLevel="0" collapsed="false">
      <c r="A15" s="3" t="n">
        <v>13</v>
      </c>
      <c r="B15" s="4" t="s">
        <v>42</v>
      </c>
      <c r="C15" s="4" t="s">
        <v>43</v>
      </c>
      <c r="D15" s="4" t="s">
        <v>73</v>
      </c>
      <c r="E15" s="5" t="s">
        <v>74</v>
      </c>
      <c r="F15" s="6" t="n">
        <v>590</v>
      </c>
      <c r="G15" s="9" t="n">
        <v>35</v>
      </c>
      <c r="H15" s="8" t="n">
        <v>32</v>
      </c>
      <c r="I15" s="5" t="s">
        <v>19</v>
      </c>
      <c r="J15" s="5" t="s">
        <v>20</v>
      </c>
      <c r="K15" s="9" t="n">
        <v>10</v>
      </c>
      <c r="L15" s="4" t="s">
        <v>75</v>
      </c>
      <c r="M15" s="4" t="s">
        <v>76</v>
      </c>
      <c r="N15" s="4" t="s">
        <v>77</v>
      </c>
    </row>
    <row r="16" customFormat="false" ht="27.75" hidden="false" customHeight="true" outlineLevel="0" collapsed="false">
      <c r="A16" s="3" t="n">
        <v>14</v>
      </c>
      <c r="B16" s="10" t="s">
        <v>15</v>
      </c>
      <c r="C16" s="10" t="s">
        <v>16</v>
      </c>
      <c r="D16" s="10" t="s">
        <v>78</v>
      </c>
      <c r="E16" s="11" t="s">
        <v>53</v>
      </c>
      <c r="F16" s="12" t="n">
        <v>880</v>
      </c>
      <c r="G16" s="14" t="n">
        <v>47</v>
      </c>
      <c r="H16" s="13" t="n">
        <v>22</v>
      </c>
      <c r="I16" s="11" t="s">
        <v>19</v>
      </c>
      <c r="J16" s="11" t="s">
        <v>20</v>
      </c>
      <c r="K16" s="9" t="n">
        <v>9</v>
      </c>
      <c r="L16" s="10" t="s">
        <v>79</v>
      </c>
      <c r="M16" s="10" t="s">
        <v>80</v>
      </c>
      <c r="N16" s="10" t="s">
        <v>81</v>
      </c>
    </row>
    <row r="17" customFormat="false" ht="27.75" hidden="false" customHeight="true" outlineLevel="0" collapsed="false">
      <c r="A17" s="3" t="n">
        <v>15</v>
      </c>
      <c r="B17" s="4" t="s">
        <v>15</v>
      </c>
      <c r="C17" s="4" t="s">
        <v>16</v>
      </c>
      <c r="D17" s="4" t="s">
        <v>82</v>
      </c>
      <c r="E17" s="5" t="s">
        <v>18</v>
      </c>
      <c r="F17" s="6" t="n">
        <v>1700</v>
      </c>
      <c r="G17" s="7" t="n">
        <v>61</v>
      </c>
      <c r="H17" s="8" t="n">
        <v>35</v>
      </c>
      <c r="I17" s="5" t="s">
        <v>19</v>
      </c>
      <c r="J17" s="5" t="s">
        <v>20</v>
      </c>
      <c r="K17" s="14" t="n">
        <v>8</v>
      </c>
      <c r="L17" s="4" t="s">
        <v>83</v>
      </c>
      <c r="M17" s="4" t="s">
        <v>84</v>
      </c>
      <c r="N17" s="4" t="s">
        <v>85</v>
      </c>
    </row>
    <row r="18" customFormat="false" ht="27.75" hidden="false" customHeight="true" outlineLevel="0" collapsed="false">
      <c r="A18" s="3" t="n">
        <v>16</v>
      </c>
      <c r="B18" s="10" t="s">
        <v>86</v>
      </c>
      <c r="C18" s="10" t="s">
        <v>87</v>
      </c>
      <c r="D18" s="10" t="s">
        <v>88</v>
      </c>
      <c r="E18" s="11" t="s">
        <v>89</v>
      </c>
      <c r="F18" s="12" t="n">
        <v>390</v>
      </c>
      <c r="G18" s="9" t="n">
        <v>28</v>
      </c>
      <c r="H18" s="13" t="n">
        <v>18</v>
      </c>
      <c r="I18" s="11" t="s">
        <v>19</v>
      </c>
      <c r="J18" s="11" t="s">
        <v>20</v>
      </c>
      <c r="K18" s="9" t="n">
        <v>10</v>
      </c>
      <c r="L18" s="10" t="s">
        <v>90</v>
      </c>
      <c r="M18" s="10" t="s">
        <v>91</v>
      </c>
      <c r="N18" s="10" t="s">
        <v>92</v>
      </c>
    </row>
    <row r="19" customFormat="false" ht="27.75" hidden="false" customHeight="true" outlineLevel="0" collapsed="false">
      <c r="A19" s="3" t="n">
        <v>17</v>
      </c>
      <c r="B19" s="4" t="s">
        <v>15</v>
      </c>
      <c r="C19" s="4" t="s">
        <v>16</v>
      </c>
      <c r="D19" s="4" t="s">
        <v>93</v>
      </c>
      <c r="E19" s="5" t="s">
        <v>53</v>
      </c>
      <c r="F19" s="6" t="n">
        <v>2700</v>
      </c>
      <c r="G19" s="7" t="n">
        <v>66</v>
      </c>
      <c r="H19" s="8" t="n">
        <v>20</v>
      </c>
      <c r="I19" s="5" t="s">
        <v>19</v>
      </c>
      <c r="J19" s="5" t="s">
        <v>20</v>
      </c>
      <c r="K19" s="14" t="n">
        <v>7</v>
      </c>
      <c r="L19" s="4" t="s">
        <v>94</v>
      </c>
      <c r="M19" s="4" t="s">
        <v>95</v>
      </c>
      <c r="N19" s="4" t="s">
        <v>96</v>
      </c>
    </row>
    <row r="20" customFormat="false" ht="27.75" hidden="false" customHeight="true" outlineLevel="0" collapsed="false">
      <c r="A20" s="3" t="n">
        <v>18</v>
      </c>
      <c r="B20" s="10" t="s">
        <v>15</v>
      </c>
      <c r="C20" s="10" t="s">
        <v>16</v>
      </c>
      <c r="D20" s="10" t="s">
        <v>97</v>
      </c>
      <c r="E20" s="11" t="s">
        <v>74</v>
      </c>
      <c r="F20" s="12" t="n">
        <v>1800</v>
      </c>
      <c r="G20" s="14" t="n">
        <v>54</v>
      </c>
      <c r="H20" s="13" t="n">
        <v>28</v>
      </c>
      <c r="I20" s="11" t="s">
        <v>19</v>
      </c>
      <c r="J20" s="11" t="s">
        <v>20</v>
      </c>
      <c r="K20" s="14" t="n">
        <v>8</v>
      </c>
      <c r="L20" s="10" t="s">
        <v>98</v>
      </c>
      <c r="M20" s="10" t="s">
        <v>99</v>
      </c>
      <c r="N20" s="10" t="s">
        <v>100</v>
      </c>
    </row>
    <row r="21" customFormat="false" ht="27.75" hidden="false" customHeight="true" outlineLevel="0" collapsed="false">
      <c r="A21" s="3" t="n">
        <v>19</v>
      </c>
      <c r="B21" s="4" t="s">
        <v>15</v>
      </c>
      <c r="C21" s="4" t="s">
        <v>16</v>
      </c>
      <c r="D21" s="4" t="s">
        <v>101</v>
      </c>
      <c r="E21" s="5" t="s">
        <v>53</v>
      </c>
      <c r="F21" s="6" t="n">
        <v>1100</v>
      </c>
      <c r="G21" s="7" t="n">
        <v>58</v>
      </c>
      <c r="H21" s="8" t="n">
        <v>24</v>
      </c>
      <c r="I21" s="5" t="s">
        <v>19</v>
      </c>
      <c r="J21" s="5" t="s">
        <v>20</v>
      </c>
      <c r="K21" s="14" t="n">
        <v>8</v>
      </c>
      <c r="L21" s="4" t="s">
        <v>102</v>
      </c>
      <c r="M21" s="4" t="s">
        <v>103</v>
      </c>
      <c r="N21" s="4" t="s">
        <v>104</v>
      </c>
    </row>
    <row r="22" customFormat="false" ht="27.75" hidden="false" customHeight="true" outlineLevel="0" collapsed="false">
      <c r="A22" s="3" t="n">
        <v>20</v>
      </c>
      <c r="B22" s="10" t="s">
        <v>15</v>
      </c>
      <c r="C22" s="10" t="s">
        <v>16</v>
      </c>
      <c r="D22" s="10" t="s">
        <v>105</v>
      </c>
      <c r="E22" s="11" t="s">
        <v>74</v>
      </c>
      <c r="F22" s="12" t="n">
        <v>720</v>
      </c>
      <c r="G22" s="14" t="n">
        <v>38</v>
      </c>
      <c r="H22" s="13" t="n">
        <v>12</v>
      </c>
      <c r="I22" s="11" t="s">
        <v>19</v>
      </c>
      <c r="J22" s="11" t="s">
        <v>20</v>
      </c>
      <c r="K22" s="14" t="n">
        <v>8</v>
      </c>
      <c r="L22" s="10" t="s">
        <v>106</v>
      </c>
      <c r="M22" s="10" t="s">
        <v>107</v>
      </c>
      <c r="N22" s="10" t="s">
        <v>108</v>
      </c>
    </row>
    <row r="23" customFormat="false" ht="27.75" hidden="false" customHeight="true" outlineLevel="0" collapsed="false">
      <c r="A23" s="3" t="n">
        <v>21</v>
      </c>
      <c r="B23" s="4" t="s">
        <v>27</v>
      </c>
      <c r="C23" s="4" t="s">
        <v>28</v>
      </c>
      <c r="D23" s="4" t="s">
        <v>109</v>
      </c>
      <c r="E23" s="5" t="s">
        <v>53</v>
      </c>
      <c r="F23" s="6" t="n">
        <v>590</v>
      </c>
      <c r="G23" s="14" t="n">
        <v>44</v>
      </c>
      <c r="H23" s="8" t="n">
        <v>19</v>
      </c>
      <c r="I23" s="5" t="s">
        <v>19</v>
      </c>
      <c r="J23" s="5" t="s">
        <v>20</v>
      </c>
      <c r="K23" s="14" t="n">
        <v>8</v>
      </c>
      <c r="L23" s="4" t="s">
        <v>110</v>
      </c>
      <c r="M23" s="4" t="s">
        <v>111</v>
      </c>
      <c r="N23" s="4" t="s">
        <v>112</v>
      </c>
    </row>
    <row r="24" customFormat="false" ht="27.75" hidden="false" customHeight="true" outlineLevel="0" collapsed="false">
      <c r="A24" s="3" t="n">
        <v>22</v>
      </c>
      <c r="B24" s="10" t="s">
        <v>42</v>
      </c>
      <c r="C24" s="10" t="s">
        <v>43</v>
      </c>
      <c r="D24" s="10" t="s">
        <v>113</v>
      </c>
      <c r="E24" s="11" t="s">
        <v>74</v>
      </c>
      <c r="F24" s="12" t="n">
        <v>480</v>
      </c>
      <c r="G24" s="9" t="n">
        <v>32</v>
      </c>
      <c r="H24" s="13" t="n">
        <v>41</v>
      </c>
      <c r="I24" s="11" t="s">
        <v>19</v>
      </c>
      <c r="J24" s="11" t="s">
        <v>20</v>
      </c>
      <c r="K24" s="9" t="n">
        <v>10</v>
      </c>
      <c r="L24" s="10" t="s">
        <v>114</v>
      </c>
      <c r="M24" s="10" t="s">
        <v>115</v>
      </c>
      <c r="N24" s="10" t="s">
        <v>116</v>
      </c>
    </row>
    <row r="25" customFormat="false" ht="27.75" hidden="false" customHeight="true" outlineLevel="0" collapsed="false">
      <c r="A25" s="3" t="n">
        <v>23</v>
      </c>
      <c r="B25" s="4" t="s">
        <v>15</v>
      </c>
      <c r="C25" s="4" t="s">
        <v>16</v>
      </c>
      <c r="D25" s="4" t="s">
        <v>117</v>
      </c>
      <c r="E25" s="5" t="s">
        <v>53</v>
      </c>
      <c r="F25" s="6" t="n">
        <v>2100</v>
      </c>
      <c r="G25" s="7" t="n">
        <v>63</v>
      </c>
      <c r="H25" s="8" t="n">
        <v>17</v>
      </c>
      <c r="I25" s="5" t="s">
        <v>19</v>
      </c>
      <c r="J25" s="5" t="s">
        <v>20</v>
      </c>
      <c r="K25" s="14" t="n">
        <v>7</v>
      </c>
      <c r="L25" s="4" t="s">
        <v>118</v>
      </c>
      <c r="M25" s="4" t="s">
        <v>119</v>
      </c>
      <c r="N25" s="4" t="s">
        <v>120</v>
      </c>
    </row>
    <row r="26" customFormat="false" ht="27.75" hidden="false" customHeight="true" outlineLevel="0" collapsed="false">
      <c r="A26" s="3" t="n">
        <v>24</v>
      </c>
      <c r="B26" s="10" t="s">
        <v>86</v>
      </c>
      <c r="C26" s="10" t="s">
        <v>87</v>
      </c>
      <c r="D26" s="10" t="s">
        <v>121</v>
      </c>
      <c r="E26" s="11" t="s">
        <v>89</v>
      </c>
      <c r="F26" s="12" t="n">
        <v>260</v>
      </c>
      <c r="G26" s="9" t="n">
        <v>22</v>
      </c>
      <c r="H26" s="13" t="n">
        <v>24</v>
      </c>
      <c r="I26" s="11" t="s">
        <v>19</v>
      </c>
      <c r="J26" s="11" t="s">
        <v>20</v>
      </c>
      <c r="K26" s="9" t="n">
        <v>10</v>
      </c>
      <c r="L26" s="10" t="s">
        <v>122</v>
      </c>
      <c r="M26" s="10" t="s">
        <v>123</v>
      </c>
      <c r="N26" s="10" t="s">
        <v>124</v>
      </c>
    </row>
    <row r="27" customFormat="false" ht="27.75" hidden="false" customHeight="true" outlineLevel="0" collapsed="false">
      <c r="A27" s="3" t="n">
        <v>25</v>
      </c>
      <c r="B27" s="4" t="s">
        <v>15</v>
      </c>
      <c r="C27" s="4" t="s">
        <v>16</v>
      </c>
      <c r="D27" s="4" t="s">
        <v>125</v>
      </c>
      <c r="E27" s="5" t="s">
        <v>74</v>
      </c>
      <c r="F27" s="6" t="n">
        <v>310</v>
      </c>
      <c r="G27" s="9" t="n">
        <v>29</v>
      </c>
      <c r="H27" s="8" t="n">
        <v>15</v>
      </c>
      <c r="I27" s="5" t="s">
        <v>19</v>
      </c>
      <c r="J27" s="5" t="s">
        <v>20</v>
      </c>
      <c r="K27" s="9" t="n">
        <v>9</v>
      </c>
      <c r="L27" s="4" t="s">
        <v>126</v>
      </c>
      <c r="M27" s="4" t="s">
        <v>127</v>
      </c>
      <c r="N27" s="4" t="s">
        <v>128</v>
      </c>
    </row>
    <row r="29" customFormat="false" ht="15" hidden="false" customHeight="true" outlineLevel="0" collapsed="false">
      <c r="A29" s="15" t="s">
        <v>129</v>
      </c>
      <c r="B29" s="15"/>
      <c r="C29" s="15"/>
      <c r="D29" s="9" t="s">
        <v>130</v>
      </c>
      <c r="E29" s="14" t="s">
        <v>131</v>
      </c>
      <c r="F29" s="7" t="s">
        <v>132</v>
      </c>
    </row>
  </sheetData>
  <mergeCells count="2">
    <mergeCell ref="A1:O1"/>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6"/>
    <col collapsed="false" customWidth="true" hidden="false" outlineLevel="0" max="3" min="3" style="0" width="30"/>
    <col collapsed="false" customWidth="true" hidden="false" outlineLevel="0" max="4" min="4" style="0" width="44"/>
    <col collapsed="false" customWidth="true" hidden="false" outlineLevel="0" max="5" min="5" style="0" width="13"/>
    <col collapsed="false" customWidth="true" hidden="false" outlineLevel="0" max="6" min="6" style="0" width="9"/>
    <col collapsed="false" customWidth="true" hidden="false" outlineLevel="0" max="7" min="7" style="0" width="14"/>
    <col collapsed="false" customWidth="true" hidden="false" outlineLevel="0" max="8" min="8" style="0" width="16"/>
    <col collapsed="false" customWidth="true" hidden="false" outlineLevel="0" max="10" min="9" style="0" width="36"/>
  </cols>
  <sheetData>
    <row r="1" customFormat="false" ht="30" hidden="false" customHeight="true" outlineLevel="0" collapsed="false">
      <c r="A1" s="16" t="s">
        <v>133</v>
      </c>
      <c r="B1" s="16"/>
      <c r="C1" s="16"/>
      <c r="D1" s="16"/>
      <c r="E1" s="16"/>
      <c r="F1" s="16"/>
      <c r="G1" s="16"/>
      <c r="H1" s="16"/>
      <c r="I1" s="16"/>
      <c r="J1" s="16"/>
    </row>
    <row r="2" customFormat="false" ht="42" hidden="false" customHeight="true" outlineLevel="0" collapsed="false">
      <c r="A2" s="17" t="s">
        <v>134</v>
      </c>
      <c r="B2" s="17" t="s">
        <v>135</v>
      </c>
      <c r="C2" s="17" t="s">
        <v>136</v>
      </c>
      <c r="D2" s="17" t="s">
        <v>137</v>
      </c>
      <c r="E2" s="17" t="s">
        <v>138</v>
      </c>
      <c r="F2" s="17" t="s">
        <v>139</v>
      </c>
      <c r="G2" s="17" t="s">
        <v>140</v>
      </c>
      <c r="H2" s="17" t="s">
        <v>141</v>
      </c>
      <c r="I2" s="17" t="s">
        <v>142</v>
      </c>
      <c r="J2" s="17" t="s">
        <v>143</v>
      </c>
    </row>
    <row r="3" customFormat="false" ht="36" hidden="false" customHeight="true" outlineLevel="0" collapsed="false">
      <c r="A3" s="4" t="s">
        <v>27</v>
      </c>
      <c r="B3" s="4" t="s">
        <v>144</v>
      </c>
      <c r="C3" s="4" t="s">
        <v>29</v>
      </c>
      <c r="D3" s="4" t="s">
        <v>145</v>
      </c>
      <c r="E3" s="6" t="n">
        <v>2900</v>
      </c>
      <c r="F3" s="18" t="n">
        <v>45</v>
      </c>
      <c r="G3" s="4" t="s">
        <v>146</v>
      </c>
      <c r="H3" s="19" t="s">
        <v>147</v>
      </c>
      <c r="I3" s="4" t="s">
        <v>148</v>
      </c>
      <c r="J3" s="4" t="s">
        <v>149</v>
      </c>
    </row>
    <row r="4" customFormat="false" ht="36" hidden="false" customHeight="true" outlineLevel="0" collapsed="false">
      <c r="A4" s="10" t="s">
        <v>15</v>
      </c>
      <c r="B4" s="10" t="s">
        <v>150</v>
      </c>
      <c r="C4" s="10" t="s">
        <v>17</v>
      </c>
      <c r="D4" s="10" t="s">
        <v>151</v>
      </c>
      <c r="E4" s="12" t="n">
        <v>8100</v>
      </c>
      <c r="F4" s="20" t="n">
        <v>72</v>
      </c>
      <c r="G4" s="10" t="s">
        <v>152</v>
      </c>
      <c r="H4" s="21" t="s">
        <v>147</v>
      </c>
      <c r="I4" s="10" t="s">
        <v>153</v>
      </c>
      <c r="J4" s="10" t="s">
        <v>154</v>
      </c>
    </row>
    <row r="5" customFormat="false" ht="36" hidden="false" customHeight="true" outlineLevel="0" collapsed="false">
      <c r="A5" s="4" t="s">
        <v>42</v>
      </c>
      <c r="B5" s="4" t="s">
        <v>155</v>
      </c>
      <c r="C5" s="4" t="s">
        <v>44</v>
      </c>
      <c r="D5" s="4" t="s">
        <v>156</v>
      </c>
      <c r="E5" s="6" t="n">
        <v>2400</v>
      </c>
      <c r="F5" s="18" t="n">
        <v>55</v>
      </c>
      <c r="G5" s="4" t="s">
        <v>157</v>
      </c>
      <c r="H5" s="19" t="s">
        <v>147</v>
      </c>
      <c r="I5" s="4" t="s">
        <v>158</v>
      </c>
      <c r="J5" s="4" t="s">
        <v>159</v>
      </c>
    </row>
    <row r="6" customFormat="false" ht="36" hidden="false" customHeight="true" outlineLevel="0" collapsed="false">
      <c r="A6" s="10" t="s">
        <v>86</v>
      </c>
      <c r="B6" s="10" t="s">
        <v>160</v>
      </c>
      <c r="C6" s="10" t="s">
        <v>161</v>
      </c>
      <c r="D6" s="10" t="s">
        <v>162</v>
      </c>
      <c r="E6" s="12" t="n">
        <v>390</v>
      </c>
      <c r="F6" s="22" t="n">
        <v>28</v>
      </c>
      <c r="G6" s="10" t="s">
        <v>163</v>
      </c>
      <c r="H6" s="21" t="s">
        <v>147</v>
      </c>
      <c r="I6" s="10" t="s">
        <v>164</v>
      </c>
      <c r="J6" s="10" t="s">
        <v>165</v>
      </c>
    </row>
    <row r="7" customFormat="false" ht="36" hidden="false" customHeight="true" outlineLevel="0" collapsed="false">
      <c r="A7" s="4" t="s">
        <v>166</v>
      </c>
      <c r="B7" s="4" t="s">
        <v>167</v>
      </c>
      <c r="C7" s="4" t="s">
        <v>168</v>
      </c>
      <c r="D7" s="4" t="s">
        <v>169</v>
      </c>
      <c r="E7" s="6" t="n">
        <v>320</v>
      </c>
      <c r="F7" s="22" t="n">
        <v>24</v>
      </c>
      <c r="G7" s="4" t="s">
        <v>170</v>
      </c>
      <c r="H7" s="19" t="s">
        <v>147</v>
      </c>
      <c r="I7" s="4" t="s">
        <v>171</v>
      </c>
      <c r="J7" s="4" t="s">
        <v>172</v>
      </c>
    </row>
    <row r="8" customFormat="false" ht="36" hidden="false" customHeight="true" outlineLevel="0" collapsed="false">
      <c r="A8" s="10" t="s">
        <v>173</v>
      </c>
      <c r="B8" s="10" t="s">
        <v>174</v>
      </c>
      <c r="C8" s="10" t="s">
        <v>24</v>
      </c>
      <c r="D8" s="10" t="s">
        <v>175</v>
      </c>
      <c r="E8" s="12" t="n">
        <v>3600</v>
      </c>
      <c r="F8" s="20" t="n">
        <v>68</v>
      </c>
      <c r="G8" s="10" t="s">
        <v>176</v>
      </c>
      <c r="H8" s="23" t="s">
        <v>177</v>
      </c>
      <c r="I8" s="10" t="s">
        <v>178</v>
      </c>
      <c r="J8" s="10" t="s">
        <v>179</v>
      </c>
    </row>
    <row r="9" customFormat="false" ht="36" hidden="false" customHeight="true" outlineLevel="0" collapsed="false">
      <c r="A9" s="4" t="s">
        <v>180</v>
      </c>
      <c r="B9" s="4" t="s">
        <v>181</v>
      </c>
      <c r="C9" s="4" t="s">
        <v>33</v>
      </c>
      <c r="D9" s="4" t="s">
        <v>182</v>
      </c>
      <c r="E9" s="6" t="n">
        <v>1600</v>
      </c>
      <c r="F9" s="18" t="n">
        <v>38</v>
      </c>
      <c r="G9" s="4" t="s">
        <v>183</v>
      </c>
      <c r="H9" s="23" t="s">
        <v>177</v>
      </c>
      <c r="I9" s="4" t="s">
        <v>184</v>
      </c>
      <c r="J9" s="4" t="s">
        <v>185</v>
      </c>
    </row>
    <row r="10" customFormat="false" ht="36" hidden="false" customHeight="true" outlineLevel="0" collapsed="false">
      <c r="A10" s="10" t="s">
        <v>186</v>
      </c>
      <c r="B10" s="10" t="s">
        <v>187</v>
      </c>
      <c r="C10" s="10" t="s">
        <v>57</v>
      </c>
      <c r="D10" s="10" t="s">
        <v>188</v>
      </c>
      <c r="E10" s="12" t="n">
        <v>2200</v>
      </c>
      <c r="F10" s="20" t="n">
        <v>58</v>
      </c>
      <c r="G10" s="10" t="s">
        <v>189</v>
      </c>
      <c r="H10" s="23" t="s">
        <v>177</v>
      </c>
      <c r="I10" s="10" t="s">
        <v>190</v>
      </c>
      <c r="J10" s="10" t="s">
        <v>191</v>
      </c>
    </row>
    <row r="11" customFormat="false" ht="36" hidden="false" customHeight="true" outlineLevel="0" collapsed="false">
      <c r="A11" s="4" t="s">
        <v>192</v>
      </c>
      <c r="B11" s="4" t="s">
        <v>193</v>
      </c>
      <c r="C11" s="4" t="s">
        <v>97</v>
      </c>
      <c r="D11" s="4" t="s">
        <v>194</v>
      </c>
      <c r="E11" s="6" t="n">
        <v>1800</v>
      </c>
      <c r="F11" s="18" t="n">
        <v>54</v>
      </c>
      <c r="G11" s="4" t="s">
        <v>195</v>
      </c>
      <c r="H11" s="23" t="s">
        <v>177</v>
      </c>
      <c r="I11" s="4" t="s">
        <v>196</v>
      </c>
      <c r="J11" s="4" t="s">
        <v>197</v>
      </c>
    </row>
    <row r="12" customFormat="false" ht="36" hidden="false" customHeight="true" outlineLevel="0" collapsed="false">
      <c r="A12" s="10" t="s">
        <v>198</v>
      </c>
      <c r="B12" s="10" t="s">
        <v>199</v>
      </c>
      <c r="C12" s="10" t="s">
        <v>200</v>
      </c>
      <c r="D12" s="10" t="s">
        <v>201</v>
      </c>
      <c r="E12" s="12" t="n">
        <v>0</v>
      </c>
      <c r="F12" s="22" t="n">
        <v>0</v>
      </c>
      <c r="G12" s="10" t="s">
        <v>202</v>
      </c>
      <c r="H12" s="21" t="s">
        <v>203</v>
      </c>
      <c r="I12" s="10" t="s">
        <v>204</v>
      </c>
      <c r="J12" s="10" t="s">
        <v>205</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4"/>
    <col collapsed="false" customWidth="true" hidden="false" outlineLevel="0" max="4" min="4" style="0" width="10"/>
    <col collapsed="false" customWidth="true" hidden="false" outlineLevel="0" max="5" min="5" style="0" width="16"/>
    <col collapsed="false" customWidth="true" hidden="false" outlineLevel="0" max="7" min="6" style="0" width="14"/>
    <col collapsed="false" customWidth="true" hidden="false" outlineLevel="0" max="8" min="8" style="0" width="22"/>
  </cols>
  <sheetData>
    <row r="1" customFormat="false" ht="30" hidden="false" customHeight="true" outlineLevel="0" collapsed="false">
      <c r="A1" s="16" t="s">
        <v>206</v>
      </c>
      <c r="B1" s="16"/>
      <c r="C1" s="16"/>
      <c r="D1" s="16"/>
      <c r="E1" s="16"/>
      <c r="F1" s="16"/>
      <c r="G1" s="16"/>
      <c r="H1" s="16"/>
    </row>
    <row r="2" customFormat="false" ht="42" hidden="false" customHeight="true" outlineLevel="0" collapsed="false">
      <c r="A2" s="24" t="s">
        <v>207</v>
      </c>
      <c r="B2" s="24" t="s">
        <v>208</v>
      </c>
      <c r="C2" s="24" t="s">
        <v>209</v>
      </c>
      <c r="D2" s="24" t="s">
        <v>210</v>
      </c>
      <c r="E2" s="24" t="s">
        <v>211</v>
      </c>
      <c r="F2" s="24" t="s">
        <v>212</v>
      </c>
      <c r="G2" s="24" t="s">
        <v>213</v>
      </c>
      <c r="H2" s="24" t="s">
        <v>214</v>
      </c>
    </row>
    <row r="3" customFormat="false" ht="21.75" hidden="false" customHeight="true" outlineLevel="0" collapsed="false">
      <c r="A3" s="4" t="s">
        <v>121</v>
      </c>
      <c r="B3" s="6" t="n">
        <v>260</v>
      </c>
      <c r="C3" s="9" t="n">
        <v>22</v>
      </c>
      <c r="D3" s="8" t="n">
        <v>24</v>
      </c>
      <c r="E3" s="25" t="n">
        <f aca="false">ROUND((B3/1000)*4 + (100-C3)*0.4 + D3*0.3, 1)</f>
        <v>39.4</v>
      </c>
      <c r="F3" s="9" t="s">
        <v>215</v>
      </c>
      <c r="G3" s="5" t="s">
        <v>216</v>
      </c>
      <c r="H3" s="9" t="s">
        <v>217</v>
      </c>
    </row>
    <row r="4" customFormat="false" ht="21.75" hidden="false" customHeight="true" outlineLevel="0" collapsed="false">
      <c r="A4" s="10" t="s">
        <v>161</v>
      </c>
      <c r="B4" s="12" t="n">
        <v>390</v>
      </c>
      <c r="C4" s="9" t="n">
        <v>28</v>
      </c>
      <c r="D4" s="13" t="n">
        <v>18</v>
      </c>
      <c r="E4" s="26" t="n">
        <f aca="false">ROUND((B4/1000)*4 + (100-C4)*0.4 + D4*0.3, 1)</f>
        <v>35.8</v>
      </c>
      <c r="F4" s="9" t="s">
        <v>215</v>
      </c>
      <c r="G4" s="11" t="s">
        <v>216</v>
      </c>
      <c r="H4" s="9" t="s">
        <v>217</v>
      </c>
    </row>
    <row r="5" customFormat="false" ht="21.75" hidden="false" customHeight="true" outlineLevel="0" collapsed="false">
      <c r="A5" s="4" t="s">
        <v>125</v>
      </c>
      <c r="B5" s="6" t="n">
        <v>310</v>
      </c>
      <c r="C5" s="9" t="n">
        <v>29</v>
      </c>
      <c r="D5" s="8" t="n">
        <v>15</v>
      </c>
      <c r="E5" s="25" t="n">
        <f aca="false">ROUND((B5/1000)*4 + (100-C5)*0.4 + D5*0.3, 1)</f>
        <v>34.1</v>
      </c>
      <c r="F5" s="9" t="s">
        <v>215</v>
      </c>
      <c r="G5" s="5" t="s">
        <v>216</v>
      </c>
      <c r="H5" s="27" t="s">
        <v>218</v>
      </c>
    </row>
    <row r="6" customFormat="false" ht="21.75" hidden="false" customHeight="true" outlineLevel="0" collapsed="false">
      <c r="A6" s="10" t="s">
        <v>113</v>
      </c>
      <c r="B6" s="12" t="n">
        <v>480</v>
      </c>
      <c r="C6" s="9" t="n">
        <v>32</v>
      </c>
      <c r="D6" s="13" t="n">
        <v>41</v>
      </c>
      <c r="E6" s="26" t="n">
        <f aca="false">ROUND((B6/1000)*4 + (100-C6)*0.4 + D6*0.3, 1)</f>
        <v>41.4</v>
      </c>
      <c r="F6" s="9" t="s">
        <v>215</v>
      </c>
      <c r="G6" s="11" t="s">
        <v>219</v>
      </c>
      <c r="H6" s="9" t="s">
        <v>217</v>
      </c>
    </row>
    <row r="7" customFormat="false" ht="21.75" hidden="false" customHeight="true" outlineLevel="0" collapsed="false">
      <c r="A7" s="4" t="s">
        <v>73</v>
      </c>
      <c r="B7" s="6" t="n">
        <v>590</v>
      </c>
      <c r="C7" s="9" t="n">
        <v>35</v>
      </c>
      <c r="D7" s="8" t="n">
        <v>32</v>
      </c>
      <c r="E7" s="25" t="n">
        <f aca="false">ROUND((B7/1000)*4 + (100-C7)*0.4 + D7*0.3, 1)</f>
        <v>38</v>
      </c>
      <c r="F7" s="9" t="s">
        <v>215</v>
      </c>
      <c r="G7" s="5" t="s">
        <v>219</v>
      </c>
      <c r="H7" s="9" t="s">
        <v>217</v>
      </c>
    </row>
    <row r="8" customFormat="false" ht="21.75" hidden="false" customHeight="true" outlineLevel="0" collapsed="false">
      <c r="A8" s="10" t="s">
        <v>33</v>
      </c>
      <c r="B8" s="12" t="n">
        <v>1600</v>
      </c>
      <c r="C8" s="14" t="n">
        <v>38</v>
      </c>
      <c r="D8" s="13" t="n">
        <v>27.5</v>
      </c>
      <c r="E8" s="26" t="n">
        <f aca="false">ROUND((B8/1000)*4 + (100-C8)*0.4 + D8*0.3, 1)</f>
        <v>39.5</v>
      </c>
      <c r="F8" s="14" t="s">
        <v>216</v>
      </c>
      <c r="G8" s="11" t="s">
        <v>220</v>
      </c>
      <c r="H8" s="27" t="s">
        <v>218</v>
      </c>
    </row>
    <row r="9" customFormat="false" ht="21.75" hidden="false" customHeight="true" outlineLevel="0" collapsed="false">
      <c r="A9" s="4" t="s">
        <v>105</v>
      </c>
      <c r="B9" s="6" t="n">
        <v>720</v>
      </c>
      <c r="C9" s="14" t="n">
        <v>38</v>
      </c>
      <c r="D9" s="8" t="n">
        <v>12</v>
      </c>
      <c r="E9" s="25" t="n">
        <f aca="false">ROUND((B9/1000)*4 + (100-C9)*0.4 + D9*0.3, 1)</f>
        <v>31.3</v>
      </c>
      <c r="F9" s="14" t="s">
        <v>216</v>
      </c>
      <c r="G9" s="5" t="s">
        <v>216</v>
      </c>
      <c r="H9" s="27" t="s">
        <v>218</v>
      </c>
    </row>
    <row r="10" customFormat="false" ht="21.75" hidden="false" customHeight="true" outlineLevel="0" collapsed="false">
      <c r="A10" s="10" t="s">
        <v>69</v>
      </c>
      <c r="B10" s="12" t="n">
        <v>720</v>
      </c>
      <c r="C10" s="14" t="n">
        <v>41</v>
      </c>
      <c r="D10" s="13" t="n">
        <v>19.5</v>
      </c>
      <c r="E10" s="26" t="n">
        <f aca="false">ROUND((B10/1000)*4 + (100-C10)*0.4 + D10*0.3, 1)</f>
        <v>32.3</v>
      </c>
      <c r="F10" s="14" t="s">
        <v>216</v>
      </c>
      <c r="G10" s="11" t="s">
        <v>219</v>
      </c>
      <c r="H10" s="27" t="s">
        <v>218</v>
      </c>
    </row>
    <row r="11" customFormat="false" ht="21.75" hidden="false" customHeight="true" outlineLevel="0" collapsed="false">
      <c r="A11" s="4" t="s">
        <v>48</v>
      </c>
      <c r="B11" s="6" t="n">
        <v>1900</v>
      </c>
      <c r="C11" s="14" t="n">
        <v>42</v>
      </c>
      <c r="D11" s="8" t="n">
        <v>24</v>
      </c>
      <c r="E11" s="25" t="n">
        <f aca="false">ROUND((B11/1000)*4 + (100-C11)*0.4 + D11*0.3, 1)</f>
        <v>38</v>
      </c>
      <c r="F11" s="14" t="s">
        <v>216</v>
      </c>
      <c r="G11" s="5" t="s">
        <v>220</v>
      </c>
      <c r="H11" s="27" t="s">
        <v>218</v>
      </c>
    </row>
    <row r="12" customFormat="false" ht="21.75" hidden="false" customHeight="true" outlineLevel="0" collapsed="false">
      <c r="A12" s="10" t="s">
        <v>52</v>
      </c>
      <c r="B12" s="12" t="n">
        <v>880</v>
      </c>
      <c r="C12" s="14" t="n">
        <v>44</v>
      </c>
      <c r="D12" s="13" t="n">
        <v>16.5</v>
      </c>
      <c r="E12" s="26" t="n">
        <f aca="false">ROUND((B12/1000)*4 + (100-C12)*0.4 + D12*0.3, 1)</f>
        <v>30.9</v>
      </c>
      <c r="F12" s="14" t="s">
        <v>216</v>
      </c>
      <c r="G12" s="11" t="s">
        <v>219</v>
      </c>
      <c r="H12" s="27" t="s">
        <v>218</v>
      </c>
    </row>
    <row r="13" customFormat="false" ht="21.75" hidden="false" customHeight="true" outlineLevel="0" collapsed="false">
      <c r="A13" s="4" t="s">
        <v>109</v>
      </c>
      <c r="B13" s="6" t="n">
        <v>590</v>
      </c>
      <c r="C13" s="14" t="n">
        <v>44</v>
      </c>
      <c r="D13" s="8" t="n">
        <v>19</v>
      </c>
      <c r="E13" s="25" t="n">
        <f aca="false">ROUND((B13/1000)*4 + (100-C13)*0.4 + D13*0.3, 1)</f>
        <v>30.5</v>
      </c>
      <c r="F13" s="14" t="s">
        <v>216</v>
      </c>
      <c r="G13" s="5" t="s">
        <v>219</v>
      </c>
      <c r="H13" s="27" t="s">
        <v>218</v>
      </c>
    </row>
    <row r="14" customFormat="false" ht="21.75" hidden="false" customHeight="true" outlineLevel="0" collapsed="false">
      <c r="A14" s="10" t="s">
        <v>29</v>
      </c>
      <c r="B14" s="12" t="n">
        <v>2900</v>
      </c>
      <c r="C14" s="14" t="n">
        <v>45</v>
      </c>
      <c r="D14" s="13" t="n">
        <v>31</v>
      </c>
      <c r="E14" s="26" t="n">
        <f aca="false">ROUND((B14/1000)*4 + (100-C14)*0.4 + D14*0.3, 1)</f>
        <v>42.9</v>
      </c>
      <c r="F14" s="14" t="s">
        <v>216</v>
      </c>
      <c r="G14" s="11" t="s">
        <v>220</v>
      </c>
      <c r="H14" s="27" t="s">
        <v>218</v>
      </c>
    </row>
    <row r="15" customFormat="false" ht="21.75" hidden="false" customHeight="true" outlineLevel="0" collapsed="false">
      <c r="A15" s="4" t="s">
        <v>78</v>
      </c>
      <c r="B15" s="6" t="n">
        <v>880</v>
      </c>
      <c r="C15" s="14" t="n">
        <v>47</v>
      </c>
      <c r="D15" s="8" t="n">
        <v>22</v>
      </c>
      <c r="E15" s="25" t="n">
        <f aca="false">ROUND((B15/1000)*4 + (100-C15)*0.4 + D15*0.3, 1)</f>
        <v>31.3</v>
      </c>
      <c r="F15" s="14" t="s">
        <v>216</v>
      </c>
      <c r="G15" s="5" t="s">
        <v>219</v>
      </c>
      <c r="H15" s="27" t="s">
        <v>218</v>
      </c>
    </row>
    <row r="16" customFormat="false" ht="21.75" hidden="false" customHeight="true" outlineLevel="0" collapsed="false">
      <c r="A16" s="10" t="s">
        <v>61</v>
      </c>
      <c r="B16" s="12" t="n">
        <v>1400</v>
      </c>
      <c r="C16" s="14" t="n">
        <v>49</v>
      </c>
      <c r="D16" s="13" t="n">
        <v>17</v>
      </c>
      <c r="E16" s="26" t="n">
        <f aca="false">ROUND((B16/1000)*4 + (100-C16)*0.4 + D16*0.3, 1)</f>
        <v>31.1</v>
      </c>
      <c r="F16" s="14" t="s">
        <v>216</v>
      </c>
      <c r="G16" s="11" t="s">
        <v>219</v>
      </c>
      <c r="H16" s="27" t="s">
        <v>218</v>
      </c>
    </row>
    <row r="17" customFormat="false" ht="21.75" hidden="false" customHeight="true" outlineLevel="0" collapsed="false">
      <c r="A17" s="4" t="s">
        <v>38</v>
      </c>
      <c r="B17" s="6" t="n">
        <v>1300</v>
      </c>
      <c r="C17" s="14" t="n">
        <v>52</v>
      </c>
      <c r="D17" s="8" t="n">
        <v>19</v>
      </c>
      <c r="E17" s="25" t="n">
        <f aca="false">ROUND((B17/1000)*4 + (100-C17)*0.4 + D17*0.3, 1)</f>
        <v>30.1</v>
      </c>
      <c r="F17" s="14" t="s">
        <v>216</v>
      </c>
      <c r="G17" s="5" t="s">
        <v>219</v>
      </c>
      <c r="H17" s="14" t="s">
        <v>118</v>
      </c>
    </row>
    <row r="18" customFormat="false" ht="21.75" hidden="false" customHeight="true" outlineLevel="0" collapsed="false">
      <c r="A18" s="10" t="s">
        <v>97</v>
      </c>
      <c r="B18" s="12" t="n">
        <v>1800</v>
      </c>
      <c r="C18" s="14" t="n">
        <v>54</v>
      </c>
      <c r="D18" s="13" t="n">
        <v>28</v>
      </c>
      <c r="E18" s="26" t="n">
        <f aca="false">ROUND((B18/1000)*4 + (100-C18)*0.4 + D18*0.3, 1)</f>
        <v>34</v>
      </c>
      <c r="F18" s="14" t="s">
        <v>216</v>
      </c>
      <c r="G18" s="11" t="s">
        <v>220</v>
      </c>
      <c r="H18" s="14" t="s">
        <v>118</v>
      </c>
    </row>
    <row r="19" customFormat="false" ht="21.75" hidden="false" customHeight="true" outlineLevel="0" collapsed="false">
      <c r="A19" s="4" t="s">
        <v>44</v>
      </c>
      <c r="B19" s="6" t="n">
        <v>2400</v>
      </c>
      <c r="C19" s="14" t="n">
        <v>55</v>
      </c>
      <c r="D19" s="8" t="n">
        <v>14</v>
      </c>
      <c r="E19" s="25" t="n">
        <f aca="false">ROUND((B19/1000)*4 + (100-C19)*0.4 + D19*0.3, 1)</f>
        <v>31.8</v>
      </c>
      <c r="F19" s="14" t="s">
        <v>216</v>
      </c>
      <c r="G19" s="5" t="s">
        <v>220</v>
      </c>
      <c r="H19" s="14" t="s">
        <v>118</v>
      </c>
    </row>
    <row r="20" customFormat="false" ht="21.75" hidden="false" customHeight="true" outlineLevel="0" collapsed="false">
      <c r="A20" s="10" t="s">
        <v>57</v>
      </c>
      <c r="B20" s="12" t="n">
        <v>2200</v>
      </c>
      <c r="C20" s="7" t="n">
        <v>58</v>
      </c>
      <c r="D20" s="13" t="n">
        <v>21</v>
      </c>
      <c r="E20" s="26" t="n">
        <f aca="false">ROUND((B20/1000)*4 + (100-C20)*0.4 + D20*0.3, 1)</f>
        <v>31.9</v>
      </c>
      <c r="F20" s="7" t="s">
        <v>219</v>
      </c>
      <c r="G20" s="11" t="s">
        <v>220</v>
      </c>
      <c r="H20" s="14" t="s">
        <v>118</v>
      </c>
    </row>
    <row r="21" customFormat="false" ht="21.75" hidden="false" customHeight="true" outlineLevel="0" collapsed="false">
      <c r="A21" s="4" t="s">
        <v>101</v>
      </c>
      <c r="B21" s="6" t="n">
        <v>1100</v>
      </c>
      <c r="C21" s="7" t="n">
        <v>58</v>
      </c>
      <c r="D21" s="8" t="n">
        <v>24</v>
      </c>
      <c r="E21" s="25" t="n">
        <f aca="false">ROUND((B21/1000)*4 + (100-C21)*0.4 + D21*0.3, 1)</f>
        <v>28.4</v>
      </c>
      <c r="F21" s="7" t="s">
        <v>219</v>
      </c>
      <c r="G21" s="5" t="s">
        <v>219</v>
      </c>
      <c r="H21" s="14" t="s">
        <v>118</v>
      </c>
    </row>
    <row r="22" customFormat="false" ht="21.75" hidden="false" customHeight="true" outlineLevel="0" collapsed="false">
      <c r="A22" s="10" t="s">
        <v>82</v>
      </c>
      <c r="B22" s="12" t="n">
        <v>1700</v>
      </c>
      <c r="C22" s="7" t="n">
        <v>61</v>
      </c>
      <c r="D22" s="13" t="n">
        <v>35</v>
      </c>
      <c r="E22" s="26" t="n">
        <f aca="false">ROUND((B22/1000)*4 + (100-C22)*0.4 + D22*0.3, 1)</f>
        <v>32.9</v>
      </c>
      <c r="F22" s="7" t="s">
        <v>219</v>
      </c>
      <c r="G22" s="11" t="s">
        <v>220</v>
      </c>
      <c r="H22" s="28" t="s">
        <v>221</v>
      </c>
    </row>
    <row r="23" customFormat="false" ht="21.75" hidden="false" customHeight="true" outlineLevel="0" collapsed="false">
      <c r="A23" s="4" t="s">
        <v>117</v>
      </c>
      <c r="B23" s="6" t="n">
        <v>2100</v>
      </c>
      <c r="C23" s="7" t="n">
        <v>63</v>
      </c>
      <c r="D23" s="8" t="n">
        <v>17</v>
      </c>
      <c r="E23" s="25" t="n">
        <f aca="false">ROUND((B23/1000)*4 + (100-C23)*0.4 + D23*0.3, 1)</f>
        <v>28.3</v>
      </c>
      <c r="F23" s="7" t="s">
        <v>219</v>
      </c>
      <c r="G23" s="5" t="s">
        <v>220</v>
      </c>
      <c r="H23" s="28" t="s">
        <v>221</v>
      </c>
    </row>
    <row r="24" customFormat="false" ht="21.75" hidden="false" customHeight="true" outlineLevel="0" collapsed="false">
      <c r="A24" s="10" t="s">
        <v>65</v>
      </c>
      <c r="B24" s="12" t="n">
        <v>3300</v>
      </c>
      <c r="C24" s="7" t="n">
        <v>65</v>
      </c>
      <c r="D24" s="13" t="n">
        <v>26</v>
      </c>
      <c r="E24" s="26" t="n">
        <f aca="false">ROUND((B24/1000)*4 + (100-C24)*0.4 + D24*0.3, 1)</f>
        <v>35</v>
      </c>
      <c r="F24" s="7" t="s">
        <v>219</v>
      </c>
      <c r="G24" s="11" t="s">
        <v>220</v>
      </c>
      <c r="H24" s="28" t="s">
        <v>221</v>
      </c>
    </row>
    <row r="25" customFormat="false" ht="21.75" hidden="false" customHeight="true" outlineLevel="0" collapsed="false">
      <c r="A25" s="4" t="s">
        <v>93</v>
      </c>
      <c r="B25" s="6" t="n">
        <v>2700</v>
      </c>
      <c r="C25" s="7" t="n">
        <v>66</v>
      </c>
      <c r="D25" s="8" t="n">
        <v>20</v>
      </c>
      <c r="E25" s="25" t="n">
        <f aca="false">ROUND((B25/1000)*4 + (100-C25)*0.4 + D25*0.3, 1)</f>
        <v>30.4</v>
      </c>
      <c r="F25" s="7" t="s">
        <v>219</v>
      </c>
      <c r="G25" s="5" t="s">
        <v>220</v>
      </c>
      <c r="H25" s="28" t="s">
        <v>221</v>
      </c>
    </row>
    <row r="26" customFormat="false" ht="21.75" hidden="false" customHeight="true" outlineLevel="0" collapsed="false">
      <c r="A26" s="10" t="s">
        <v>24</v>
      </c>
      <c r="B26" s="12" t="n">
        <v>3600</v>
      </c>
      <c r="C26" s="7" t="n">
        <v>68</v>
      </c>
      <c r="D26" s="13" t="n">
        <v>22</v>
      </c>
      <c r="E26" s="26" t="n">
        <f aca="false">ROUND((B26/1000)*4 + (100-C26)*0.4 + D26*0.3, 1)</f>
        <v>33.8</v>
      </c>
      <c r="F26" s="7" t="s">
        <v>219</v>
      </c>
      <c r="G26" s="11" t="s">
        <v>220</v>
      </c>
      <c r="H26" s="28" t="s">
        <v>221</v>
      </c>
    </row>
    <row r="27" customFormat="false" ht="21.75" hidden="false" customHeight="true" outlineLevel="0" collapsed="false">
      <c r="A27" s="4" t="s">
        <v>17</v>
      </c>
      <c r="B27" s="6" t="n">
        <v>8100</v>
      </c>
      <c r="C27" s="7" t="n">
        <v>72</v>
      </c>
      <c r="D27" s="8" t="n">
        <v>18.5</v>
      </c>
      <c r="E27" s="25" t="n">
        <f aca="false">ROUND((B27/1000)*4 + (100-C27)*0.4 + D27*0.3, 1)</f>
        <v>49.2</v>
      </c>
      <c r="F27" s="7" t="s">
        <v>219</v>
      </c>
      <c r="G27" s="5" t="s">
        <v>220</v>
      </c>
      <c r="H27" s="28" t="s">
        <v>221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4" min="3" style="0" width="44"/>
    <col collapsed="false" customWidth="true" hidden="false" outlineLevel="0" max="5" min="5" style="0" width="30"/>
    <col collapsed="false" customWidth="true" hidden="false" outlineLevel="0" max="6" min="6" style="0" width="14"/>
    <col collapsed="false" customWidth="true" hidden="false" outlineLevel="0" max="7" min="7" style="0" width="18"/>
  </cols>
  <sheetData>
    <row r="1" customFormat="false" ht="30" hidden="false" customHeight="true" outlineLevel="0" collapsed="false">
      <c r="A1" s="16" t="s">
        <v>222</v>
      </c>
      <c r="B1" s="16"/>
      <c r="C1" s="16"/>
      <c r="D1" s="16"/>
      <c r="E1" s="16"/>
      <c r="F1" s="16"/>
      <c r="G1" s="16"/>
    </row>
    <row r="2" customFormat="false" ht="36" hidden="false" customHeight="true" outlineLevel="0" collapsed="false">
      <c r="A2" s="29" t="s">
        <v>223</v>
      </c>
      <c r="B2" s="29" t="s">
        <v>224</v>
      </c>
      <c r="C2" s="29" t="s">
        <v>225</v>
      </c>
      <c r="D2" s="29" t="s">
        <v>226</v>
      </c>
      <c r="E2" s="29" t="s">
        <v>227</v>
      </c>
      <c r="F2" s="29" t="s">
        <v>228</v>
      </c>
      <c r="G2" s="29" t="s">
        <v>229</v>
      </c>
    </row>
    <row r="3" customFormat="false" ht="27.75" hidden="false" customHeight="true" outlineLevel="0" collapsed="false">
      <c r="A3" s="30" t="s">
        <v>230</v>
      </c>
      <c r="B3" s="30" t="s">
        <v>231</v>
      </c>
      <c r="C3" s="31" t="s">
        <v>232</v>
      </c>
      <c r="D3" s="31" t="s">
        <v>29</v>
      </c>
      <c r="E3" s="31" t="s">
        <v>233</v>
      </c>
      <c r="F3" s="30" t="s">
        <v>234</v>
      </c>
      <c r="G3" s="27" t="s">
        <v>235</v>
      </c>
    </row>
    <row r="4" customFormat="false" ht="27.75" hidden="false" customHeight="true" outlineLevel="0" collapsed="false">
      <c r="A4" s="30" t="s">
        <v>230</v>
      </c>
      <c r="B4" s="30" t="s">
        <v>231</v>
      </c>
      <c r="C4" s="31" t="s">
        <v>236</v>
      </c>
      <c r="D4" s="31" t="s">
        <v>161</v>
      </c>
      <c r="E4" s="31" t="s">
        <v>237</v>
      </c>
      <c r="F4" s="30" t="s">
        <v>238</v>
      </c>
      <c r="G4" s="30" t="s">
        <v>219</v>
      </c>
    </row>
    <row r="5" customFormat="false" ht="27.75" hidden="false" customHeight="true" outlineLevel="0" collapsed="false">
      <c r="A5" s="30" t="s">
        <v>230</v>
      </c>
      <c r="B5" s="30" t="s">
        <v>239</v>
      </c>
      <c r="C5" s="31" t="s">
        <v>240</v>
      </c>
      <c r="D5" s="31" t="s">
        <v>44</v>
      </c>
      <c r="E5" s="31" t="s">
        <v>241</v>
      </c>
      <c r="F5" s="30" t="s">
        <v>242</v>
      </c>
      <c r="G5" s="30" t="s">
        <v>219</v>
      </c>
    </row>
    <row r="6" customFormat="false" ht="27.75" hidden="false" customHeight="true" outlineLevel="0" collapsed="false">
      <c r="A6" s="30" t="s">
        <v>230</v>
      </c>
      <c r="B6" s="30" t="s">
        <v>239</v>
      </c>
      <c r="C6" s="31" t="s">
        <v>243</v>
      </c>
      <c r="D6" s="31" t="s">
        <v>244</v>
      </c>
      <c r="E6" s="31" t="s">
        <v>245</v>
      </c>
      <c r="F6" s="30" t="s">
        <v>238</v>
      </c>
      <c r="G6" s="30" t="s">
        <v>219</v>
      </c>
    </row>
    <row r="7" customFormat="false" ht="27.75" hidden="false" customHeight="true" outlineLevel="0" collapsed="false">
      <c r="A7" s="30" t="s">
        <v>230</v>
      </c>
      <c r="B7" s="30" t="s">
        <v>246</v>
      </c>
      <c r="C7" s="31" t="s">
        <v>247</v>
      </c>
      <c r="D7" s="31" t="s">
        <v>248</v>
      </c>
      <c r="E7" s="31" t="s">
        <v>249</v>
      </c>
      <c r="F7" s="30" t="s">
        <v>238</v>
      </c>
      <c r="G7" s="30" t="s">
        <v>216</v>
      </c>
    </row>
    <row r="8" customFormat="false" ht="27.75" hidden="false" customHeight="true" outlineLevel="0" collapsed="false">
      <c r="A8" s="32" t="s">
        <v>250</v>
      </c>
      <c r="B8" s="32" t="s">
        <v>251</v>
      </c>
      <c r="C8" s="33" t="s">
        <v>252</v>
      </c>
      <c r="D8" s="33" t="s">
        <v>253</v>
      </c>
      <c r="E8" s="33" t="s">
        <v>254</v>
      </c>
      <c r="F8" s="32" t="s">
        <v>255</v>
      </c>
      <c r="G8" s="34" t="s">
        <v>235</v>
      </c>
    </row>
    <row r="9" customFormat="false" ht="27.75" hidden="false" customHeight="true" outlineLevel="0" collapsed="false">
      <c r="A9" s="32" t="s">
        <v>250</v>
      </c>
      <c r="B9" s="32" t="s">
        <v>251</v>
      </c>
      <c r="C9" s="33" t="s">
        <v>256</v>
      </c>
      <c r="D9" s="33" t="s">
        <v>257</v>
      </c>
      <c r="E9" s="33" t="s">
        <v>258</v>
      </c>
      <c r="F9" s="32" t="s">
        <v>255</v>
      </c>
      <c r="G9" s="34" t="s">
        <v>235</v>
      </c>
    </row>
    <row r="10" customFormat="false" ht="27.75" hidden="false" customHeight="true" outlineLevel="0" collapsed="false">
      <c r="A10" s="32" t="s">
        <v>250</v>
      </c>
      <c r="B10" s="32" t="s">
        <v>259</v>
      </c>
      <c r="C10" s="33" t="s">
        <v>260</v>
      </c>
      <c r="D10" s="33" t="s">
        <v>261</v>
      </c>
      <c r="E10" s="33" t="s">
        <v>262</v>
      </c>
      <c r="F10" s="32" t="s">
        <v>255</v>
      </c>
      <c r="G10" s="32" t="s">
        <v>219</v>
      </c>
    </row>
    <row r="11" customFormat="false" ht="27.75" hidden="false" customHeight="true" outlineLevel="0" collapsed="false">
      <c r="A11" s="32" t="s">
        <v>250</v>
      </c>
      <c r="B11" s="32" t="s">
        <v>259</v>
      </c>
      <c r="C11" s="33" t="s">
        <v>263</v>
      </c>
      <c r="D11" s="33" t="s">
        <v>264</v>
      </c>
      <c r="E11" s="33" t="s">
        <v>265</v>
      </c>
      <c r="F11" s="32" t="s">
        <v>255</v>
      </c>
      <c r="G11" s="32" t="s">
        <v>219</v>
      </c>
    </row>
    <row r="12" customFormat="false" ht="27.75" hidden="false" customHeight="true" outlineLevel="0" collapsed="false">
      <c r="A12" s="32" t="s">
        <v>250</v>
      </c>
      <c r="B12" s="32" t="s">
        <v>266</v>
      </c>
      <c r="C12" s="33" t="s">
        <v>267</v>
      </c>
      <c r="D12" s="33" t="s">
        <v>268</v>
      </c>
      <c r="E12" s="33" t="s">
        <v>269</v>
      </c>
      <c r="F12" s="32" t="s">
        <v>255</v>
      </c>
      <c r="G12" s="32" t="s">
        <v>219</v>
      </c>
    </row>
    <row r="13" customFormat="false" ht="27.75" hidden="false" customHeight="true" outlineLevel="0" collapsed="false">
      <c r="A13" s="18" t="s">
        <v>270</v>
      </c>
      <c r="B13" s="18" t="s">
        <v>271</v>
      </c>
      <c r="C13" s="35" t="s">
        <v>272</v>
      </c>
      <c r="D13" s="35" t="s">
        <v>273</v>
      </c>
      <c r="E13" s="35" t="s">
        <v>274</v>
      </c>
      <c r="F13" s="18" t="s">
        <v>242</v>
      </c>
      <c r="G13" s="14" t="s">
        <v>235</v>
      </c>
    </row>
    <row r="14" customFormat="false" ht="27.75" hidden="false" customHeight="true" outlineLevel="0" collapsed="false">
      <c r="A14" s="18" t="s">
        <v>270</v>
      </c>
      <c r="B14" s="18" t="s">
        <v>271</v>
      </c>
      <c r="C14" s="35" t="s">
        <v>275</v>
      </c>
      <c r="D14" s="35" t="s">
        <v>276</v>
      </c>
      <c r="E14" s="35" t="s">
        <v>277</v>
      </c>
      <c r="F14" s="18" t="s">
        <v>242</v>
      </c>
      <c r="G14" s="18" t="s">
        <v>219</v>
      </c>
    </row>
    <row r="15" customFormat="false" ht="27.75" hidden="false" customHeight="true" outlineLevel="0" collapsed="false">
      <c r="A15" s="18" t="s">
        <v>270</v>
      </c>
      <c r="B15" s="18" t="s">
        <v>278</v>
      </c>
      <c r="C15" s="35" t="s">
        <v>279</v>
      </c>
      <c r="D15" s="35" t="s">
        <v>280</v>
      </c>
      <c r="E15" s="35" t="s">
        <v>281</v>
      </c>
      <c r="F15" s="18" t="s">
        <v>282</v>
      </c>
      <c r="G15" s="14" t="s">
        <v>220</v>
      </c>
    </row>
    <row r="16" customFormat="false" ht="27.75" hidden="false" customHeight="true" outlineLevel="0" collapsed="false">
      <c r="A16" s="18" t="s">
        <v>270</v>
      </c>
      <c r="B16" s="18" t="s">
        <v>283</v>
      </c>
      <c r="C16" s="35" t="s">
        <v>284</v>
      </c>
      <c r="D16" s="35" t="s">
        <v>285</v>
      </c>
      <c r="E16" s="35" t="s">
        <v>286</v>
      </c>
      <c r="F16" s="18" t="s">
        <v>242</v>
      </c>
      <c r="G16" s="18" t="s">
        <v>219</v>
      </c>
    </row>
    <row r="17" customFormat="false" ht="27.75" hidden="false" customHeight="true" outlineLevel="0" collapsed="false">
      <c r="A17" s="18" t="s">
        <v>270</v>
      </c>
      <c r="B17" s="18" t="s">
        <v>287</v>
      </c>
      <c r="C17" s="35" t="s">
        <v>288</v>
      </c>
      <c r="D17" s="35" t="s">
        <v>289</v>
      </c>
      <c r="E17" s="35" t="s">
        <v>290</v>
      </c>
      <c r="F17" s="18" t="s">
        <v>291</v>
      </c>
      <c r="G17" s="18" t="s">
        <v>216</v>
      </c>
    </row>
    <row r="18" customFormat="false" ht="27.75" hidden="false" customHeight="true" outlineLevel="0" collapsed="false">
      <c r="A18" s="22" t="s">
        <v>292</v>
      </c>
      <c r="B18" s="22" t="s">
        <v>245</v>
      </c>
      <c r="C18" s="36" t="s">
        <v>293</v>
      </c>
      <c r="D18" s="36" t="s">
        <v>294</v>
      </c>
      <c r="E18" s="36" t="s">
        <v>295</v>
      </c>
      <c r="F18" s="22" t="s">
        <v>296</v>
      </c>
      <c r="G18" s="22" t="s">
        <v>219</v>
      </c>
    </row>
    <row r="19" customFormat="false" ht="27.75" hidden="false" customHeight="true" outlineLevel="0" collapsed="false">
      <c r="A19" s="22" t="s">
        <v>292</v>
      </c>
      <c r="B19" s="22" t="s">
        <v>245</v>
      </c>
      <c r="C19" s="36" t="s">
        <v>297</v>
      </c>
      <c r="D19" s="36" t="s">
        <v>29</v>
      </c>
      <c r="E19" s="36" t="s">
        <v>254</v>
      </c>
      <c r="F19" s="22" t="s">
        <v>298</v>
      </c>
      <c r="G19" s="9" t="s">
        <v>220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
    <col collapsed="false" customWidth="true" hidden="false" outlineLevel="0" max="3" min="3" style="0" width="90"/>
  </cols>
  <sheetData>
    <row r="1" customFormat="false" ht="30" hidden="false" customHeight="true" outlineLevel="0" collapsed="false">
      <c r="A1" s="16" t="s">
        <v>299</v>
      </c>
      <c r="B1" s="16"/>
      <c r="C1" s="16"/>
      <c r="D1" s="16"/>
    </row>
    <row r="3" customFormat="false" ht="60" hidden="false" customHeight="true" outlineLevel="0" collapsed="false">
      <c r="A3" s="37" t="s">
        <v>300</v>
      </c>
      <c r="C3" s="38" t="s">
        <v>301</v>
      </c>
      <c r="D3" s="38"/>
    </row>
    <row r="4" customFormat="false" ht="60" hidden="false" customHeight="true" outlineLevel="0" collapsed="false">
      <c r="A4" s="37" t="s">
        <v>302</v>
      </c>
      <c r="C4" s="39" t="s">
        <v>303</v>
      </c>
      <c r="D4" s="39"/>
    </row>
    <row r="5" customFormat="false" ht="60" hidden="false" customHeight="true" outlineLevel="0" collapsed="false">
      <c r="A5" s="37" t="s">
        <v>304</v>
      </c>
      <c r="C5" s="38" t="s">
        <v>305</v>
      </c>
      <c r="D5" s="38"/>
    </row>
    <row r="6" customFormat="false" ht="60" hidden="false" customHeight="true" outlineLevel="0" collapsed="false">
      <c r="A6" s="37" t="s">
        <v>306</v>
      </c>
      <c r="C6" s="39" t="s">
        <v>307</v>
      </c>
      <c r="D6" s="39"/>
    </row>
    <row r="7" customFormat="false" ht="60" hidden="false" customHeight="true" outlineLevel="0" collapsed="false">
      <c r="A7" s="37" t="s">
        <v>308</v>
      </c>
      <c r="C7" s="38" t="s">
        <v>309</v>
      </c>
      <c r="D7" s="38"/>
    </row>
    <row r="8" customFormat="false" ht="60" hidden="false" customHeight="true" outlineLevel="0" collapsed="false">
      <c r="A8" s="37" t="s">
        <v>310</v>
      </c>
      <c r="C8" s="39" t="s">
        <v>311</v>
      </c>
      <c r="D8" s="39"/>
    </row>
    <row r="9" customFormat="false" ht="60" hidden="false" customHeight="true" outlineLevel="0" collapsed="false">
      <c r="A9" s="37" t="s">
        <v>312</v>
      </c>
      <c r="C9" s="38" t="s">
        <v>313</v>
      </c>
      <c r="D9" s="38"/>
    </row>
    <row r="10" customFormat="false" ht="60" hidden="false" customHeight="true" outlineLevel="0" collapsed="false">
      <c r="A10" s="37" t="s">
        <v>314</v>
      </c>
      <c r="C10" s="39" t="s">
        <v>315</v>
      </c>
      <c r="D10" s="39"/>
    </row>
  </sheetData>
  <mergeCells count="9">
    <mergeCell ref="A1:D1"/>
    <mergeCell ref="C3:D3"/>
    <mergeCell ref="C4:D4"/>
    <mergeCell ref="C5:D5"/>
    <mergeCell ref="C6:D6"/>
    <mergeCell ref="C7:D7"/>
    <mergeCell ref="C8:D8"/>
    <mergeCell ref="C9:D9"/>
    <mergeCell ref="C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2026-03-16T00:07:09Z</dcterms:created>
  <dc:creator>openpyxl</dc:creator>
  <dc:description/>
  <dc:language>en-US</dc:language>
  <cp:lastModifiedBy/>
  <dcterms:modified xsi:type="dcterms:W3CDTF">2026-03-16T00:07:09Z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